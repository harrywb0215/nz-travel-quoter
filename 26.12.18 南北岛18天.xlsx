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用车 + 活动" sheetId="10" r:id="rId1"/>
    <sheet name="用车 + 活动 (2)" sheetId="12" r:id="rId2"/>
    <sheet name="活动预订单" sheetId="11" r:id="rId3"/>
  </sheets>
  <definedNames>
    <definedName name="_xlnm.Print_Area" localSheetId="1">'用车 + 活动 (2)'!$A$2:$D$17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<sst xmlns="http://schemas.openxmlformats.org/spreadsheetml/2006/main" count="228" uniqueCount="145">
  <si>
    <t>PS： 26春节：2.16-26 附加费</t>
  </si>
  <si>
    <t>7 座 Alphard</t>
  </si>
  <si>
    <t>导游</t>
  </si>
  <si>
    <t>总计</t>
  </si>
  <si>
    <t>额外导游</t>
  </si>
  <si>
    <t>日期</t>
  </si>
  <si>
    <t>行程</t>
  </si>
  <si>
    <t>活动 // 球场</t>
  </si>
  <si>
    <t>北岛</t>
  </si>
  <si>
    <t>南岛</t>
  </si>
  <si>
    <t>节日附加费</t>
  </si>
  <si>
    <t>附加费</t>
  </si>
  <si>
    <t>北岛餐补</t>
  </si>
  <si>
    <t>南岛餐补</t>
  </si>
  <si>
    <t>住宿补贴</t>
  </si>
  <si>
    <t>工资</t>
  </si>
  <si>
    <t>餐补</t>
  </si>
  <si>
    <t>小费</t>
  </si>
  <si>
    <t>Day 1</t>
  </si>
  <si>
    <t>皇后镇接机 1420 + 游览</t>
  </si>
  <si>
    <t>Day 2</t>
  </si>
  <si>
    <t>皇后镇 - 格林诺奇 - 皇后镇</t>
  </si>
  <si>
    <t>TSS + 晚餐 NZD 199/人</t>
  </si>
  <si>
    <t>Day 3</t>
  </si>
  <si>
    <t>皇后镇 - 瓦纳卡 - 皇后镇</t>
  </si>
  <si>
    <t>天空缆车 NZD 69/人</t>
  </si>
  <si>
    <t>Day 4</t>
  </si>
  <si>
    <t>皇后镇 - 峡湾 - 蒂阿瑙</t>
  </si>
  <si>
    <t>峡湾游轮 + 游轮自助</t>
  </si>
  <si>
    <t>Day 5</t>
  </si>
  <si>
    <t>蒂阿瑙 - 水果小镇 - 但尼丁</t>
  </si>
  <si>
    <t>Day 6</t>
  </si>
  <si>
    <t>但尼丁 - 大圆石 - 奥马鲁</t>
  </si>
  <si>
    <t>看小企鹅迁徙 NZD 67/人</t>
  </si>
  <si>
    <t>Day 7</t>
  </si>
  <si>
    <t>奥马鲁 - 库克山 - 蒂卡波湖</t>
  </si>
  <si>
    <t>Day 8</t>
  </si>
  <si>
    <t>库克山 - 蒂卡波</t>
  </si>
  <si>
    <t>塔斯曼冰河探险 NZD 219/人</t>
  </si>
  <si>
    <t>Day 9</t>
  </si>
  <si>
    <t>蒂卡波 - 基督城</t>
  </si>
  <si>
    <t>Day 10</t>
  </si>
  <si>
    <t>基督城 - 阿卡罗阿 - 基督城</t>
  </si>
  <si>
    <t>龙虾船 NZD 3500(包船）
出海看海豚 NZD 125/人</t>
  </si>
  <si>
    <t>Day 11</t>
  </si>
  <si>
    <t>基督城 / 奥克兰 1605 // 1730</t>
  </si>
  <si>
    <t>南极中心 NZD 74/人</t>
  </si>
  <si>
    <t>Day 12</t>
  </si>
  <si>
    <t>奥克兰 - 霍比特 - 罗托鲁阿</t>
  </si>
  <si>
    <t>霍比特村游览 NZD 120/人</t>
  </si>
  <si>
    <t>Day 13</t>
  </si>
  <si>
    <t>罗托鲁阿</t>
  </si>
  <si>
    <t>毛利文化村 NZD 142/人
爱歌顿皇家牧场 NZD 61/人</t>
  </si>
  <si>
    <t>Day 14</t>
  </si>
  <si>
    <t>罗托鲁阿 - 陶波湖 - 罗托鲁阿</t>
  </si>
  <si>
    <t>陶波湖游览</t>
  </si>
  <si>
    <t>Day 15</t>
  </si>
  <si>
    <t>罗托鲁阿 - 萤火虫洞 - 奥克兰</t>
  </si>
  <si>
    <t>萤火虫洞 NZD 81/人</t>
  </si>
  <si>
    <t>Day 16</t>
  </si>
  <si>
    <t>奥克兰 市区游览</t>
  </si>
  <si>
    <t>Day 17</t>
  </si>
  <si>
    <t>奥克兰送机 1045</t>
  </si>
  <si>
    <t>1. 以上行程用车：NZD 19,985</t>
  </si>
  <si>
    <t>价格包含：</t>
  </si>
  <si>
    <t>车：16座奔驰 + 拖斗，燃油，机场卡，车辆保险</t>
  </si>
  <si>
    <t>司兼导服务，司导工资；司导住宿（未含库克山司导住宿），餐补</t>
  </si>
  <si>
    <t>价格不含：</t>
  </si>
  <si>
    <t>小费：NZD 6每人每天（请现金结算给导游，南北岛分开计算）</t>
  </si>
  <si>
    <t>不含行程以外的路程费，</t>
  </si>
  <si>
    <t>不含旅游保险（建议自行购买）</t>
  </si>
  <si>
    <t>说明：</t>
  </si>
  <si>
    <t>工作时间：全天不超过10小时，超时部分按照 NZD150/小时（含GST）计算</t>
  </si>
  <si>
    <t>此报价有效期为2周，报价以最终航班时间为准，目前并未座任何预留</t>
  </si>
  <si>
    <t>2. 活动费用：成人：NZD 2080/人；</t>
  </si>
  <si>
    <t>活动包含：
凯库拉观鲸，Alpacas farm， 直升机飞峡湾 + 峡湾游轮+ 午餐（餐盒）；山顶缆车；TSS 游湖；霍比特村游览，Wai O Tapu 地热公园门票；怀托摩萤火虫洞</t>
  </si>
  <si>
    <t>TSS + 晚餐</t>
  </si>
  <si>
    <t>皇后镇</t>
  </si>
  <si>
    <t>天空缆车 + 晚餐</t>
  </si>
  <si>
    <t>皇后镇 - 蒂阿瑙</t>
  </si>
  <si>
    <t>萤火虫洞</t>
  </si>
  <si>
    <t>蒂阿瑙 - 峡湾 - 但尼丁</t>
  </si>
  <si>
    <t>看小企鹅迁徙</t>
  </si>
  <si>
    <t>奥马鲁 - 蒂卡波湖</t>
  </si>
  <si>
    <t>蒂卡波 - 库克山 - 蒂卡波湖</t>
  </si>
  <si>
    <t>塔斯曼冰河探险</t>
  </si>
  <si>
    <t>出海看海豚</t>
  </si>
  <si>
    <t>南极中心</t>
  </si>
  <si>
    <t>奥克兰 自由活动</t>
  </si>
  <si>
    <t>不用车</t>
  </si>
  <si>
    <t>霍比特村游览</t>
  </si>
  <si>
    <t>毛利文化村 + 晚餐</t>
  </si>
  <si>
    <t>罗托鲁阿 - 蓝泉- 奥克兰</t>
  </si>
  <si>
    <t>爱歌顿皇家牧场 + 午餐</t>
  </si>
  <si>
    <t>1. 以上行程用车：NZD 19,000</t>
  </si>
  <si>
    <t>司兼导服务，司导工资；司导住宿，餐补</t>
  </si>
  <si>
    <t>活 动 预 定 表</t>
  </si>
  <si>
    <t xml:space="preserve">团号：KCB1218C  人数：12 A
预定日期：26.5.8 </t>
  </si>
  <si>
    <t>预订
情况</t>
  </si>
  <si>
    <t>支付
情况</t>
  </si>
  <si>
    <t>费用</t>
  </si>
  <si>
    <t>行程：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</si>
  <si>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</si>
  <si>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</si>
  <si>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</si>
  <si>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</si>
  <si>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</si>
  <si>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</si>
  <si>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</si>
  <si>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</si>
  <si>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</si>
  <si>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</si>
  <si>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</si>
  <si>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基督城 / 奥克兰  1605 // 1730</t>
  </si>
  <si>
    <t>D 12</t>
  </si>
  <si>
    <t>D 13</t>
  </si>
  <si>
    <t>D 14</t>
  </si>
  <si>
    <t>D 15</t>
  </si>
  <si>
    <t>活动</t>
  </si>
  <si>
    <t>项目</t>
  </si>
  <si>
    <t>K</t>
  </si>
  <si>
    <t>KK</t>
  </si>
  <si>
    <t>IVC</t>
  </si>
  <si>
    <t>Sent</t>
  </si>
  <si>
    <t>Paid</t>
  </si>
  <si>
    <t>报价</t>
  </si>
  <si>
    <t>底价</t>
  </si>
  <si>
    <t>TSS + 晚餐 @ 17:00</t>
  </si>
  <si>
    <t>Skyline + 晚餐 @ 18:30</t>
  </si>
  <si>
    <t>Te Anau Glowworm Caves @ 17:45</t>
  </si>
  <si>
    <t>Milford Curise + Buffet Lunch @ 12:00</t>
  </si>
  <si>
    <t>Oamaru Penguins @ 20:45</t>
  </si>
  <si>
    <t>Glacier Explorer @ 13:15</t>
  </si>
  <si>
    <t>Akaroa Nature Cruise @ 13:30</t>
  </si>
  <si>
    <t>Hobbiton</t>
  </si>
  <si>
    <t>Tepuia + 晚餐 @ 17:30</t>
  </si>
  <si>
    <t>Agrodome + 午餐 @ 9:30</t>
  </si>
  <si>
    <t>司导</t>
  </si>
  <si>
    <t>住宿</t>
  </si>
  <si>
    <t>TEU</t>
  </si>
  <si>
    <t>DUN</t>
  </si>
  <si>
    <t>OMA</t>
  </si>
  <si>
    <t>LXP 2 Nights</t>
  </si>
  <si>
    <t>ROT 2 Nights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</si>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</sst>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[$-409]d\-mmm;@"/>
    <numFmt numFmtId="178" formatCode="_-\$* #,##0.00_ ;_-\$* \-#,##0.00\ ;_-\$* &quot;-&quot;??_ ;_-@_ "/>
    <numFmt numFmtId="179" formatCode="_-\$* #,##0_ ;_-\$* \-#,##0\ ;_-\$* &quot;-&quot;_ ;_-@_ "/>
  </numFmts>
  <fonts count="31">
    <font>
      <sz val="11"/>
      <color theme="1"/>
      <name val="等线"/>
      <charset val="134"/>
      <scheme val="minor"/>
    </font>
    <font>
      <b/>
      <sz val="20"/>
      <color indexed="9"/>
      <name val="华文楷体"/>
      <charset val="134"/>
    </font>
    <font>
      <b/>
      <sz val="14"/>
      <name val="华文楷体"/>
      <charset val="134"/>
    </font>
    <font>
      <sz val="12"/>
      <name val="华文楷体"/>
      <charset val="134"/>
    </font>
    <font>
      <sz val="12"/>
      <color indexed="8"/>
      <name val="华文楷体"/>
      <charset val="134"/>
    </font>
    <font>
      <sz val="12"/>
      <color theme="1"/>
      <name val="楷体"/>
      <charset val="134"/>
    </font>
    <font>
      <sz val="11"/>
      <color indexed="8"/>
      <name val="华文楷体"/>
      <charset val="134"/>
    </font>
    <font>
      <sz val="11"/>
      <color theme="1"/>
      <name val="楷体"/>
      <charset val="134"/>
    </font>
    <font>
      <sz val="12"/>
      <color rgb="FFFF0000"/>
      <name val="华文楷体"/>
      <charset val="134"/>
    </font>
    <font>
      <sz val="12"/>
      <color theme="1"/>
      <name val="华文楷体"/>
      <charset val="134"/>
    </font>
    <font>
      <sz val="12"/>
      <color rgb="FFFF0000"/>
      <name val="楷体"/>
      <charset val="134"/>
    </font>
    <font>
      <sz val="12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4" applyNumberFormat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9" borderId="24" applyNumberFormat="0" applyAlignment="0" applyProtection="0">
      <alignment vertical="center"/>
    </xf>
    <xf numFmtId="0" fontId="23" fillId="10" borderId="26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left" vertical="center" wrapText="1" indent="1"/>
    </xf>
    <xf numFmtId="0" fontId="2" fillId="3" borderId="5" xfId="0" applyNumberFormat="1" applyFont="1" applyFill="1" applyBorder="1" applyAlignment="1" applyProtection="1">
      <alignment horizontal="left" vertical="center" indent="1"/>
    </xf>
    <xf numFmtId="0" fontId="2" fillId="3" borderId="6" xfId="0" applyNumberFormat="1" applyFont="1" applyFill="1" applyBorder="1" applyAlignment="1" applyProtection="1">
      <alignment horizontal="left" vertical="center" indent="1"/>
    </xf>
    <xf numFmtId="0" fontId="2" fillId="3" borderId="7" xfId="0" applyNumberFormat="1" applyFont="1" applyFill="1" applyBorder="1" applyAlignment="1" applyProtection="1">
      <alignment horizontal="center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2" fillId="3" borderId="6" xfId="0" applyNumberFormat="1" applyFont="1" applyFill="1" applyBorder="1" applyAlignment="1" applyProtection="1">
      <alignment horizontal="center" vertical="center" wrapText="1"/>
    </xf>
    <xf numFmtId="0" fontId="2" fillId="3" borderId="7" xfId="0" applyNumberFormat="1" applyFont="1" applyFill="1" applyBorder="1" applyAlignment="1" applyProtection="1">
      <alignment horizontal="center" vertical="center"/>
    </xf>
    <xf numFmtId="0" fontId="2" fillId="3" borderId="8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left" vertical="center" wrapText="1" indent="1"/>
    </xf>
    <xf numFmtId="0" fontId="2" fillId="0" borderId="5" xfId="0" applyNumberFormat="1" applyFont="1" applyFill="1" applyBorder="1" applyAlignment="1" applyProtection="1">
      <alignment horizontal="left" vertical="center" wrapText="1" indent="1"/>
    </xf>
    <xf numFmtId="0" fontId="2" fillId="0" borderId="8" xfId="0" applyNumberFormat="1" applyFont="1" applyFill="1" applyBorder="1" applyAlignment="1" applyProtection="1">
      <alignment horizontal="left" vertical="center" wrapText="1" indent="1"/>
    </xf>
    <xf numFmtId="0" fontId="3" fillId="0" borderId="4" xfId="0" applyNumberFormat="1" applyFont="1" applyFill="1" applyBorder="1" applyAlignment="1" applyProtection="1">
      <alignment horizontal="left" vertical="center" wrapText="1" indent="1"/>
    </xf>
    <xf numFmtId="177" fontId="4" fillId="0" borderId="9" xfId="0" applyNumberFormat="1" applyFont="1" applyFill="1" applyBorder="1" applyAlignment="1" applyProtection="1">
      <alignment horizontal="center" vertical="center"/>
    </xf>
    <xf numFmtId="0" fontId="5" fillId="0" borderId="10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6" fillId="3" borderId="13" xfId="0" applyNumberFormat="1" applyFont="1" applyFill="1" applyBorder="1" applyAlignment="1" applyProtection="1">
      <alignment horizontal="center" vertical="center"/>
    </xf>
    <xf numFmtId="0" fontId="6" fillId="3" borderId="9" xfId="0" applyNumberFormat="1" applyFont="1" applyFill="1" applyBorder="1" applyAlignment="1" applyProtection="1">
      <alignment horizontal="center" vertical="center"/>
    </xf>
    <xf numFmtId="178" fontId="6" fillId="3" borderId="9" xfId="0" applyNumberFormat="1" applyFont="1" applyFill="1" applyBorder="1" applyAlignment="1" applyProtection="1">
      <alignment horizontal="center" vertical="center"/>
    </xf>
    <xf numFmtId="178" fontId="6" fillId="3" borderId="1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left" vertical="center" indent="1"/>
    </xf>
    <xf numFmtId="0" fontId="6" fillId="0" borderId="9" xfId="0" applyNumberFormat="1" applyFont="1" applyFill="1" applyBorder="1" applyAlignment="1" applyProtection="1">
      <alignment horizontal="center" vertical="center"/>
    </xf>
    <xf numFmtId="178" fontId="6" fillId="0" borderId="9" xfId="0" applyNumberFormat="1" applyFont="1" applyFill="1" applyBorder="1" applyAlignment="1" applyProtection="1">
      <alignment horizontal="center" vertical="center"/>
    </xf>
    <xf numFmtId="178" fontId="6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left" vertical="center"/>
    </xf>
    <xf numFmtId="177" fontId="6" fillId="0" borderId="9" xfId="0" applyNumberFormat="1" applyFont="1" applyFill="1" applyBorder="1" applyAlignment="1" applyProtection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58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 indent="1"/>
    </xf>
    <xf numFmtId="0" fontId="10" fillId="0" borderId="20" xfId="0" applyFont="1" applyBorder="1" applyAlignment="1">
      <alignment vertical="center" wrapText="1"/>
    </xf>
    <xf numFmtId="178" fontId="9" fillId="4" borderId="18" xfId="2" applyNumberFormat="1" applyFont="1" applyFill="1" applyBorder="1">
      <alignment vertical="center"/>
    </xf>
    <xf numFmtId="178" fontId="9" fillId="4" borderId="19" xfId="2" applyNumberFormat="1" applyFont="1" applyFill="1" applyBorder="1">
      <alignment vertical="center"/>
    </xf>
    <xf numFmtId="178" fontId="0" fillId="4" borderId="19" xfId="0" applyNumberFormat="1" applyFill="1" applyBorder="1">
      <alignment vertical="center"/>
    </xf>
    <xf numFmtId="179" fontId="7" fillId="5" borderId="19" xfId="3" applyNumberFormat="1" applyFont="1" applyFill="1" applyBorder="1">
      <alignment vertical="center"/>
    </xf>
    <xf numFmtId="0" fontId="5" fillId="0" borderId="20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vertical="center" wrapText="1"/>
    </xf>
    <xf numFmtId="0" fontId="11" fillId="0" borderId="20" xfId="0" applyFont="1" applyFill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9" fillId="0" borderId="20" xfId="0" applyNumberFormat="1" applyFont="1" applyBorder="1" applyAlignment="1">
      <alignment horizontal="left" vertical="center" indent="1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178" fontId="9" fillId="4" borderId="19" xfId="0" applyNumberFormat="1" applyFont="1" applyFill="1" applyBorder="1">
      <alignment vertical="center"/>
    </xf>
    <xf numFmtId="178" fontId="8" fillId="4" borderId="18" xfId="0" applyNumberFormat="1" applyFont="1" applyFill="1" applyBorder="1">
      <alignment vertical="center"/>
    </xf>
    <xf numFmtId="178" fontId="8" fillId="4" borderId="19" xfId="0" applyNumberFormat="1" applyFont="1" applyFill="1" applyBorder="1">
      <alignment vertical="center"/>
    </xf>
    <xf numFmtId="0" fontId="8" fillId="6" borderId="19" xfId="0" applyFont="1" applyFill="1" applyBorder="1" applyAlignment="1">
      <alignment horizontal="left" vertical="center" indent="2"/>
    </xf>
    <xf numFmtId="0" fontId="9" fillId="0" borderId="19" xfId="0" applyFont="1" applyBorder="1" applyAlignment="1">
      <alignment horizontal="left" vertical="center" indent="2"/>
    </xf>
    <xf numFmtId="0" fontId="9" fillId="0" borderId="19" xfId="0" applyFont="1" applyBorder="1" applyAlignment="1">
      <alignment horizontal="left" vertical="center" indent="3"/>
    </xf>
    <xf numFmtId="0" fontId="9" fillId="0" borderId="19" xfId="0" applyFont="1" applyBorder="1" applyAlignment="1">
      <alignment horizontal="left" vertical="center" indent="5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58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 indent="1"/>
    </xf>
    <xf numFmtId="0" fontId="10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NumberFormat="1" applyFont="1" applyAlignment="1">
      <alignment horizontal="left" vertical="center" indent="1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zoomScale="130" zoomScaleNormal="130" topLeftCell="A5" workbookViewId="0">
      <pane xSplit="4" topLeftCell="E1" activePane="topRight" state="frozen"/>
      <selection/>
      <selection pane="topRight" activeCell="E17" sqref="E17"/>
    </sheetView>
  </sheetViews>
  <sheetFormatPr defaultColWidth="9" defaultRowHeight="14.25"/>
  <cols>
    <col min="2" max="2" width="11.6166666666667" customWidth="1"/>
    <col min="3" max="3" width="34.7" customWidth="1"/>
    <col min="4" max="4" width="30.4666666666667" customWidth="1"/>
    <col min="5" max="5" width="12.1083333333333" customWidth="1"/>
    <col min="6" max="6" width="12.8833333333333" customWidth="1"/>
    <col min="7" max="7" width="13.3416666666667" customWidth="1"/>
    <col min="8" max="9" width="14.6666666666667" customWidth="1"/>
    <col min="10" max="10" width="13.3333333333333" customWidth="1"/>
    <col min="11" max="11" width="13.1333333333333" customWidth="1"/>
    <col min="12" max="12" width="13.3583333333333" customWidth="1"/>
    <col min="15" max="15" width="12.5" customWidth="1"/>
    <col min="16" max="16" width="11.6333333333333" customWidth="1"/>
    <col min="17" max="17" width="11.25" customWidth="1"/>
    <col min="18" max="18" width="13.6333333333333" customWidth="1"/>
    <col min="19" max="19" width="13.5" customWidth="1"/>
    <col min="20" max="20" width="16" customWidth="1"/>
  </cols>
  <sheetData>
    <row r="1" ht="22" customHeight="1" spans="1:20">
      <c r="A1" s="34" t="s">
        <v>0</v>
      </c>
      <c r="B1" s="34"/>
      <c r="C1" s="34"/>
      <c r="D1" s="34"/>
      <c r="E1" s="35" t="s">
        <v>1</v>
      </c>
      <c r="F1" s="36"/>
      <c r="G1" s="36"/>
      <c r="H1" s="36"/>
      <c r="I1" s="36" t="s">
        <v>2</v>
      </c>
      <c r="J1" s="36"/>
      <c r="K1" s="36"/>
      <c r="L1" s="37" t="s">
        <v>3</v>
      </c>
      <c r="O1" s="38" t="s">
        <v>4</v>
      </c>
      <c r="P1" s="38"/>
      <c r="Q1" s="38"/>
      <c r="R1" s="38"/>
      <c r="S1" s="38"/>
      <c r="T1" s="38" t="s">
        <v>3</v>
      </c>
    </row>
    <row r="2" ht="20" customHeight="1" spans="1:20">
      <c r="A2" s="72" t="s">
        <v>5</v>
      </c>
      <c r="B2" s="72"/>
      <c r="C2" s="72" t="s">
        <v>6</v>
      </c>
      <c r="D2" s="72" t="s">
        <v>7</v>
      </c>
      <c r="E2" s="35" t="s">
        <v>8</v>
      </c>
      <c r="F2" s="36" t="s">
        <v>9</v>
      </c>
      <c r="G2" s="36" t="s">
        <v>10</v>
      </c>
      <c r="H2" s="36" t="s">
        <v>11</v>
      </c>
      <c r="I2" s="36" t="s">
        <v>12</v>
      </c>
      <c r="J2" s="36" t="s">
        <v>13</v>
      </c>
      <c r="K2" s="36" t="s">
        <v>14</v>
      </c>
      <c r="L2" s="36"/>
      <c r="O2" s="38" t="s">
        <v>15</v>
      </c>
      <c r="P2" s="38" t="s">
        <v>16</v>
      </c>
      <c r="Q2" s="38" t="s">
        <v>14</v>
      </c>
      <c r="R2" s="38" t="s">
        <v>11</v>
      </c>
      <c r="S2" s="38" t="s">
        <v>17</v>
      </c>
      <c r="T2" s="38"/>
    </row>
    <row r="3" ht="20" customHeight="1" spans="1:20">
      <c r="A3" s="53" t="s">
        <v>18</v>
      </c>
      <c r="B3" s="73">
        <v>46374</v>
      </c>
      <c r="C3" s="74" t="s">
        <v>19</v>
      </c>
      <c r="D3" s="75"/>
      <c r="E3" s="44"/>
      <c r="F3" s="45">
        <v>800</v>
      </c>
      <c r="G3" s="45"/>
      <c r="H3" s="45">
        <v>600</v>
      </c>
      <c r="I3" s="45"/>
      <c r="J3" s="45">
        <v>50</v>
      </c>
      <c r="K3" s="45"/>
      <c r="L3" s="46">
        <f>SUM(E3:K3)</f>
        <v>1450</v>
      </c>
      <c r="O3" s="47"/>
      <c r="P3" s="47"/>
      <c r="Q3" s="47"/>
      <c r="R3" s="47"/>
      <c r="S3" s="47"/>
      <c r="T3" s="47"/>
    </row>
    <row r="4" ht="20" customHeight="1" spans="1:20">
      <c r="A4" s="53" t="s">
        <v>20</v>
      </c>
      <c r="B4" s="73">
        <v>46375</v>
      </c>
      <c r="C4" s="76" t="s">
        <v>21</v>
      </c>
      <c r="D4" s="77" t="s">
        <v>22</v>
      </c>
      <c r="E4" s="44"/>
      <c r="F4" s="45">
        <v>850</v>
      </c>
      <c r="G4" s="45"/>
      <c r="H4" s="45">
        <v>200</v>
      </c>
      <c r="I4" s="45"/>
      <c r="J4" s="45">
        <v>75</v>
      </c>
      <c r="K4" s="45"/>
      <c r="L4" s="46">
        <f>SUM(E4:K4)</f>
        <v>1125</v>
      </c>
      <c r="O4" s="47"/>
      <c r="P4" s="47"/>
      <c r="Q4" s="47"/>
      <c r="R4" s="47"/>
      <c r="S4" s="47"/>
      <c r="T4" s="47"/>
    </row>
    <row r="5" ht="20" customHeight="1" spans="1:20">
      <c r="A5" s="53" t="s">
        <v>23</v>
      </c>
      <c r="B5" s="73">
        <v>46376</v>
      </c>
      <c r="C5" s="76" t="s">
        <v>24</v>
      </c>
      <c r="D5" s="77" t="s">
        <v>25</v>
      </c>
      <c r="E5" s="44"/>
      <c r="F5" s="45">
        <v>850</v>
      </c>
      <c r="G5" s="45"/>
      <c r="H5" s="45">
        <v>200</v>
      </c>
      <c r="I5" s="45"/>
      <c r="J5" s="45">
        <v>75</v>
      </c>
      <c r="K5" s="45"/>
      <c r="L5" s="46">
        <f t="shared" ref="L5:L11" si="0">SUM(E5:K5)</f>
        <v>1125</v>
      </c>
      <c r="O5" s="47"/>
      <c r="P5" s="47"/>
      <c r="Q5" s="47"/>
      <c r="R5" s="47"/>
      <c r="S5" s="47"/>
      <c r="T5" s="47"/>
    </row>
    <row r="6" ht="42" customHeight="1" spans="1:20">
      <c r="A6" s="53" t="s">
        <v>26</v>
      </c>
      <c r="B6" s="73">
        <v>46377</v>
      </c>
      <c r="C6" s="76" t="s">
        <v>27</v>
      </c>
      <c r="D6" s="77" t="s">
        <v>28</v>
      </c>
      <c r="E6" s="44"/>
      <c r="F6" s="45">
        <v>850</v>
      </c>
      <c r="G6" s="45"/>
      <c r="H6" s="45"/>
      <c r="I6" s="45"/>
      <c r="J6" s="45">
        <v>75</v>
      </c>
      <c r="K6" s="45"/>
      <c r="L6" s="46">
        <f t="shared" si="0"/>
        <v>925</v>
      </c>
      <c r="O6" s="47"/>
      <c r="P6" s="47"/>
      <c r="Q6" s="47"/>
      <c r="R6" s="47"/>
      <c r="S6" s="47"/>
      <c r="T6" s="47"/>
    </row>
    <row r="7" ht="42" customHeight="1" spans="1:20">
      <c r="A7" s="53" t="s">
        <v>29</v>
      </c>
      <c r="B7" s="73">
        <v>46378</v>
      </c>
      <c r="C7" s="76" t="s">
        <v>30</v>
      </c>
      <c r="D7" s="77"/>
      <c r="E7" s="44"/>
      <c r="F7" s="45">
        <v>850</v>
      </c>
      <c r="G7" s="45"/>
      <c r="H7" s="45"/>
      <c r="I7" s="45"/>
      <c r="J7" s="45">
        <v>75</v>
      </c>
      <c r="K7" s="45">
        <v>200</v>
      </c>
      <c r="L7" s="46">
        <f t="shared" si="0"/>
        <v>1125</v>
      </c>
      <c r="O7" s="47"/>
      <c r="P7" s="47"/>
      <c r="Q7" s="47"/>
      <c r="R7" s="47"/>
      <c r="S7" s="47"/>
      <c r="T7" s="47"/>
    </row>
    <row r="8" ht="20" customHeight="1" spans="1:20">
      <c r="A8" s="53" t="s">
        <v>31</v>
      </c>
      <c r="B8" s="73">
        <v>46379</v>
      </c>
      <c r="C8" s="76" t="s">
        <v>32</v>
      </c>
      <c r="D8" s="77" t="s">
        <v>33</v>
      </c>
      <c r="E8" s="44"/>
      <c r="F8" s="45">
        <v>850</v>
      </c>
      <c r="G8" s="45"/>
      <c r="H8" s="45"/>
      <c r="I8" s="45"/>
      <c r="J8" s="45">
        <v>75</v>
      </c>
      <c r="K8" s="45">
        <v>200</v>
      </c>
      <c r="L8" s="46">
        <f t="shared" ref="L8:L19" si="1">SUM(E8:K8)</f>
        <v>1125</v>
      </c>
      <c r="O8" s="47"/>
      <c r="P8" s="47"/>
      <c r="Q8" s="47"/>
      <c r="R8" s="47"/>
      <c r="S8" s="47"/>
      <c r="T8" s="47"/>
    </row>
    <row r="9" ht="20" customHeight="1" spans="1:20">
      <c r="A9" s="53" t="s">
        <v>34</v>
      </c>
      <c r="B9" s="73">
        <v>46380</v>
      </c>
      <c r="C9" s="76" t="s">
        <v>35</v>
      </c>
      <c r="D9" s="78"/>
      <c r="E9" s="44"/>
      <c r="F9" s="45">
        <v>850</v>
      </c>
      <c r="G9" s="45">
        <v>175</v>
      </c>
      <c r="H9" s="45"/>
      <c r="I9" s="45"/>
      <c r="J9" s="45">
        <v>75</v>
      </c>
      <c r="K9" s="45"/>
      <c r="L9" s="46">
        <f t="shared" si="1"/>
        <v>1100</v>
      </c>
      <c r="O9" s="47"/>
      <c r="P9" s="47"/>
      <c r="Q9" s="47"/>
      <c r="R9" s="47"/>
      <c r="S9" s="47"/>
      <c r="T9" s="47"/>
    </row>
    <row r="10" ht="20" customHeight="1" spans="1:20">
      <c r="A10" s="53" t="s">
        <v>36</v>
      </c>
      <c r="B10" s="73">
        <v>46381</v>
      </c>
      <c r="C10" s="76" t="s">
        <v>37</v>
      </c>
      <c r="D10" s="79" t="s">
        <v>38</v>
      </c>
      <c r="E10" s="44"/>
      <c r="F10" s="45">
        <v>850</v>
      </c>
      <c r="G10" s="45">
        <v>175</v>
      </c>
      <c r="H10" s="45"/>
      <c r="I10" s="45"/>
      <c r="J10" s="45">
        <v>75</v>
      </c>
      <c r="K10" s="45">
        <v>300</v>
      </c>
      <c r="L10" s="46">
        <f t="shared" si="1"/>
        <v>1400</v>
      </c>
      <c r="O10" s="47"/>
      <c r="P10" s="47"/>
      <c r="Q10" s="47"/>
      <c r="R10" s="47"/>
      <c r="S10" s="47"/>
      <c r="T10" s="47"/>
    </row>
    <row r="11" ht="20" customHeight="1" spans="1:20">
      <c r="A11" s="53" t="s">
        <v>39</v>
      </c>
      <c r="B11" s="73">
        <v>46382</v>
      </c>
      <c r="C11" s="76" t="s">
        <v>40</v>
      </c>
      <c r="D11" s="79"/>
      <c r="E11" s="44"/>
      <c r="F11" s="45">
        <v>850</v>
      </c>
      <c r="G11" s="45">
        <v>175</v>
      </c>
      <c r="H11" s="45"/>
      <c r="I11" s="45"/>
      <c r="J11" s="45">
        <v>75</v>
      </c>
      <c r="K11" s="45"/>
      <c r="L11" s="46">
        <f t="shared" si="1"/>
        <v>1100</v>
      </c>
      <c r="O11" s="47"/>
      <c r="P11" s="47"/>
      <c r="Q11" s="47"/>
      <c r="R11" s="47"/>
      <c r="S11" s="47"/>
      <c r="T11" s="47"/>
    </row>
    <row r="12" ht="39" customHeight="1" spans="1:20">
      <c r="A12" s="53" t="s">
        <v>41</v>
      </c>
      <c r="B12" s="73">
        <v>46383</v>
      </c>
      <c r="C12" s="76" t="s">
        <v>42</v>
      </c>
      <c r="D12" s="80" t="s">
        <v>43</v>
      </c>
      <c r="E12" s="44"/>
      <c r="F12" s="45">
        <v>850</v>
      </c>
      <c r="G12" s="45"/>
      <c r="H12" s="45">
        <v>200</v>
      </c>
      <c r="I12" s="45"/>
      <c r="J12" s="45">
        <v>50</v>
      </c>
      <c r="K12" s="45"/>
      <c r="L12" s="46">
        <f t="shared" si="1"/>
        <v>1100</v>
      </c>
      <c r="O12" s="47"/>
      <c r="P12" s="47"/>
      <c r="Q12" s="47"/>
      <c r="R12" s="47"/>
      <c r="S12" s="47"/>
      <c r="T12" s="47"/>
    </row>
    <row r="13" ht="20" customHeight="1" spans="1:20">
      <c r="A13" s="53" t="s">
        <v>44</v>
      </c>
      <c r="B13" s="73">
        <v>46384</v>
      </c>
      <c r="C13" s="81" t="s">
        <v>45</v>
      </c>
      <c r="D13" s="80" t="s">
        <v>46</v>
      </c>
      <c r="E13" s="44">
        <v>750</v>
      </c>
      <c r="F13" s="45">
        <v>850</v>
      </c>
      <c r="G13" s="45"/>
      <c r="H13" s="45"/>
      <c r="I13" s="45">
        <v>40</v>
      </c>
      <c r="J13" s="45">
        <v>25</v>
      </c>
      <c r="K13" s="45"/>
      <c r="L13" s="46">
        <f t="shared" si="1"/>
        <v>1665</v>
      </c>
      <c r="O13" s="47"/>
      <c r="P13" s="47"/>
      <c r="Q13" s="47"/>
      <c r="R13" s="47"/>
      <c r="S13" s="47"/>
      <c r="T13" s="47"/>
    </row>
    <row r="14" ht="20" customHeight="1" spans="1:20">
      <c r="A14" s="53" t="s">
        <v>47</v>
      </c>
      <c r="B14" s="73">
        <v>46385</v>
      </c>
      <c r="C14" s="81" t="s">
        <v>48</v>
      </c>
      <c r="D14" s="80" t="s">
        <v>49</v>
      </c>
      <c r="E14" s="44">
        <v>750</v>
      </c>
      <c r="F14" s="45"/>
      <c r="G14" s="45"/>
      <c r="H14" s="45"/>
      <c r="I14" s="45">
        <v>40</v>
      </c>
      <c r="J14" s="45"/>
      <c r="K14" s="45">
        <v>180</v>
      </c>
      <c r="L14" s="46">
        <f t="shared" si="1"/>
        <v>970</v>
      </c>
      <c r="O14" s="47"/>
      <c r="P14" s="47"/>
      <c r="Q14" s="47"/>
      <c r="R14" s="47"/>
      <c r="S14" s="47"/>
      <c r="T14" s="47"/>
    </row>
    <row r="15" ht="42" customHeight="1" spans="1:20">
      <c r="A15" s="53" t="s">
        <v>50</v>
      </c>
      <c r="B15" s="73">
        <v>46386</v>
      </c>
      <c r="C15" s="81" t="s">
        <v>51</v>
      </c>
      <c r="D15" s="80" t="s">
        <v>52</v>
      </c>
      <c r="E15" s="44">
        <v>750</v>
      </c>
      <c r="F15" s="45"/>
      <c r="G15" s="45"/>
      <c r="H15" s="45"/>
      <c r="I15" s="45">
        <v>60</v>
      </c>
      <c r="J15" s="45"/>
      <c r="K15" s="45">
        <v>180</v>
      </c>
      <c r="L15" s="46">
        <f t="shared" si="1"/>
        <v>990</v>
      </c>
      <c r="O15" s="47"/>
      <c r="P15" s="47"/>
      <c r="Q15" s="47"/>
      <c r="R15" s="47"/>
      <c r="S15" s="47"/>
      <c r="T15" s="47"/>
    </row>
    <row r="16" ht="20" customHeight="1" spans="1:20">
      <c r="A16" s="53" t="s">
        <v>53</v>
      </c>
      <c r="B16" s="73">
        <v>46387</v>
      </c>
      <c r="C16" s="81" t="s">
        <v>54</v>
      </c>
      <c r="D16" s="80" t="s">
        <v>55</v>
      </c>
      <c r="E16" s="44">
        <v>750</v>
      </c>
      <c r="F16" s="45"/>
      <c r="G16" s="45">
        <v>175</v>
      </c>
      <c r="H16" s="45"/>
      <c r="I16" s="45">
        <v>60</v>
      </c>
      <c r="J16" s="45"/>
      <c r="K16" s="45">
        <v>180</v>
      </c>
      <c r="L16" s="46">
        <f t="shared" si="1"/>
        <v>1165</v>
      </c>
      <c r="O16" s="47"/>
      <c r="P16" s="47"/>
      <c r="Q16" s="47"/>
      <c r="R16" s="47"/>
      <c r="S16" s="47"/>
      <c r="T16" s="47"/>
    </row>
    <row r="17" ht="20" customHeight="1" spans="1:20">
      <c r="A17" s="53" t="s">
        <v>56</v>
      </c>
      <c r="B17" s="73">
        <v>46388</v>
      </c>
      <c r="C17" s="81" t="s">
        <v>57</v>
      </c>
      <c r="D17" s="82" t="s">
        <v>58</v>
      </c>
      <c r="E17" s="44">
        <v>750</v>
      </c>
      <c r="F17" s="45"/>
      <c r="G17" s="45">
        <v>175</v>
      </c>
      <c r="H17" s="45">
        <v>150</v>
      </c>
      <c r="I17" s="45">
        <v>60</v>
      </c>
      <c r="J17" s="45"/>
      <c r="K17" s="45"/>
      <c r="L17" s="46">
        <f t="shared" si="1"/>
        <v>1135</v>
      </c>
      <c r="O17" s="47"/>
      <c r="P17" s="47"/>
      <c r="Q17" s="47"/>
      <c r="R17" s="47"/>
      <c r="S17" s="47"/>
      <c r="T17" s="47"/>
    </row>
    <row r="18" ht="20" customHeight="1" spans="1:20">
      <c r="A18" s="53" t="s">
        <v>59</v>
      </c>
      <c r="B18" s="73">
        <v>46389</v>
      </c>
      <c r="C18" s="81" t="s">
        <v>60</v>
      </c>
      <c r="D18" s="82"/>
      <c r="E18" s="44">
        <v>750</v>
      </c>
      <c r="F18" s="45"/>
      <c r="G18" s="45">
        <v>175</v>
      </c>
      <c r="H18" s="45">
        <v>1500</v>
      </c>
      <c r="I18" s="45">
        <v>40</v>
      </c>
      <c r="J18" s="45"/>
      <c r="K18" s="45"/>
      <c r="L18" s="46">
        <f t="shared" si="1"/>
        <v>2465</v>
      </c>
      <c r="O18" s="47"/>
      <c r="P18" s="47"/>
      <c r="Q18" s="47"/>
      <c r="R18" s="47"/>
      <c r="S18" s="47"/>
      <c r="T18" s="47"/>
    </row>
    <row r="19" ht="20" customHeight="1" spans="1:20">
      <c r="A19" s="53" t="s">
        <v>61</v>
      </c>
      <c r="B19" s="73">
        <v>46390</v>
      </c>
      <c r="C19" s="81" t="s">
        <v>62</v>
      </c>
      <c r="D19" s="82"/>
      <c r="E19" s="44"/>
      <c r="F19" s="45"/>
      <c r="G19" s="45"/>
      <c r="H19" s="45"/>
      <c r="I19" s="45">
        <v>20</v>
      </c>
      <c r="J19" s="45"/>
      <c r="K19" s="45"/>
      <c r="L19" s="46">
        <f t="shared" si="1"/>
        <v>20</v>
      </c>
      <c r="O19" s="47"/>
      <c r="P19" s="47"/>
      <c r="Q19" s="47"/>
      <c r="R19" s="47"/>
      <c r="S19" s="47"/>
      <c r="T19" s="47"/>
    </row>
    <row r="20" ht="20" customHeight="1" spans="1:20">
      <c r="A20" s="53"/>
      <c r="B20" s="53"/>
      <c r="C20" s="54"/>
      <c r="D20" s="53"/>
      <c r="E20" s="44"/>
      <c r="F20" s="45"/>
      <c r="G20" s="45"/>
      <c r="H20" s="55"/>
      <c r="I20" s="55"/>
      <c r="J20" s="45"/>
      <c r="K20" s="45"/>
      <c r="L20" s="46">
        <f>SUM(L3:L19)</f>
        <v>19985</v>
      </c>
      <c r="O20" s="47"/>
      <c r="P20" s="47"/>
      <c r="Q20" s="47"/>
      <c r="R20" s="47"/>
      <c r="S20" s="47"/>
      <c r="T20" s="47"/>
    </row>
    <row r="21" ht="20" customHeight="1" spans="1:20">
      <c r="B21" s="53"/>
      <c r="C21" s="53"/>
      <c r="D21" s="53"/>
      <c r="E21" s="56">
        <f t="shared" ref="E21:K21" si="2">SUM(E3:E20)</f>
        <v>4500</v>
      </c>
      <c r="F21" s="57">
        <f t="shared" si="2"/>
        <v>9300</v>
      </c>
      <c r="G21" s="57">
        <f t="shared" si="2"/>
        <v>1050</v>
      </c>
      <c r="H21" s="57">
        <f t="shared" si="2"/>
        <v>2850</v>
      </c>
      <c r="I21" s="57">
        <f t="shared" si="2"/>
        <v>320</v>
      </c>
      <c r="J21" s="57">
        <f t="shared" si="2"/>
        <v>725</v>
      </c>
      <c r="K21" s="57">
        <f t="shared" si="2"/>
        <v>1240</v>
      </c>
      <c r="L21" s="46">
        <f>SUM(E21:K21)</f>
        <v>19985</v>
      </c>
      <c r="O21" s="47"/>
      <c r="P21" s="47"/>
      <c r="Q21" s="47"/>
      <c r="R21" s="47"/>
      <c r="S21" s="47"/>
      <c r="T21" s="47"/>
    </row>
    <row r="22" ht="20" customHeight="1" spans="1:20">
      <c r="A22" s="58" t="s">
        <v>63</v>
      </c>
      <c r="B22" s="58"/>
      <c r="C22" s="58"/>
      <c r="D22" s="58"/>
      <c r="E22" s="53"/>
      <c r="F22" s="53"/>
      <c r="G22" s="53"/>
      <c r="H22" s="53"/>
      <c r="I22" s="53"/>
      <c r="J22" s="53"/>
      <c r="K22" s="53"/>
    </row>
    <row r="23" ht="20" customHeight="1" spans="1:20">
      <c r="A23" s="59" t="s">
        <v>64</v>
      </c>
      <c r="B23" s="59"/>
      <c r="C23" s="59"/>
      <c r="D23" s="59"/>
      <c r="E23" s="53"/>
      <c r="F23" s="53"/>
      <c r="G23" s="53"/>
      <c r="H23" s="53"/>
      <c r="I23" s="53"/>
      <c r="J23" s="53"/>
      <c r="K23" s="53"/>
    </row>
    <row r="24" ht="20" customHeight="1" spans="1:20">
      <c r="A24" s="60" t="s">
        <v>65</v>
      </c>
      <c r="B24" s="60"/>
      <c r="C24" s="60"/>
      <c r="D24" s="60"/>
      <c r="E24" s="53"/>
      <c r="F24" s="53"/>
      <c r="G24" s="53"/>
      <c r="H24" s="53"/>
      <c r="I24" s="53"/>
      <c r="J24" s="53"/>
      <c r="K24" s="53"/>
    </row>
    <row r="25" ht="20" customHeight="1" spans="1:20">
      <c r="A25" s="61" t="s">
        <v>66</v>
      </c>
      <c r="B25" s="61"/>
      <c r="C25" s="61"/>
      <c r="D25" s="61"/>
      <c r="E25" s="53"/>
      <c r="F25" s="53"/>
      <c r="G25" s="53"/>
      <c r="H25" s="53"/>
      <c r="I25" s="53"/>
      <c r="J25" s="53"/>
      <c r="K25" s="53"/>
    </row>
    <row r="26" ht="20" customHeight="1" spans="1:20">
      <c r="A26" s="62"/>
      <c r="B26" s="62"/>
      <c r="C26" s="62"/>
      <c r="D26" s="62"/>
      <c r="E26" s="53"/>
      <c r="F26" s="53"/>
      <c r="G26" s="53"/>
      <c r="H26" s="53"/>
      <c r="I26" s="53"/>
      <c r="J26" s="53"/>
      <c r="K26" s="53"/>
    </row>
    <row r="27" ht="20" customHeight="1" spans="1:20">
      <c r="A27" s="59" t="s">
        <v>67</v>
      </c>
      <c r="B27" s="59"/>
      <c r="C27" s="59"/>
      <c r="D27" s="59"/>
      <c r="E27" s="53"/>
      <c r="F27" s="53"/>
      <c r="G27" s="53"/>
      <c r="H27" s="53"/>
      <c r="I27" s="53"/>
      <c r="J27" s="53"/>
      <c r="K27" s="53"/>
    </row>
    <row r="28" customFormat="1" ht="23" customHeight="1" spans="1:20">
      <c r="A28" s="62">
        <v>1</v>
      </c>
      <c r="B28" s="63" t="s">
        <v>68</v>
      </c>
      <c r="C28" s="64"/>
      <c r="D28" s="64"/>
      <c r="E28" s="53"/>
      <c r="F28" s="53"/>
      <c r="G28" s="53"/>
      <c r="H28" s="53"/>
      <c r="I28" s="53"/>
      <c r="J28" s="53"/>
      <c r="K28" s="53"/>
    </row>
    <row r="29" ht="20" customHeight="1" spans="1:20">
      <c r="A29" s="62">
        <v>2</v>
      </c>
      <c r="B29" s="64" t="s">
        <v>69</v>
      </c>
      <c r="C29" s="64"/>
      <c r="D29" s="64"/>
      <c r="E29" s="53"/>
      <c r="F29" s="53"/>
      <c r="G29" s="53"/>
      <c r="H29" s="53"/>
      <c r="I29" s="53"/>
      <c r="J29" s="53"/>
      <c r="K29" s="53"/>
    </row>
    <row r="30" ht="20" customHeight="1" spans="1:20">
      <c r="A30" s="62">
        <v>3</v>
      </c>
      <c r="B30" s="64" t="s">
        <v>70</v>
      </c>
      <c r="C30" s="64"/>
      <c r="D30" s="64"/>
      <c r="E30" s="53"/>
      <c r="F30" s="53"/>
      <c r="G30" s="53"/>
      <c r="H30" s="53"/>
      <c r="I30" s="53"/>
      <c r="J30" s="53"/>
      <c r="K30" s="53"/>
    </row>
    <row r="31" ht="20" customHeight="1" spans="1:20">
      <c r="A31" s="59" t="s">
        <v>71</v>
      </c>
      <c r="B31" s="59"/>
      <c r="C31" s="59"/>
      <c r="D31" s="59"/>
      <c r="E31" s="53"/>
      <c r="F31" s="53"/>
      <c r="G31" s="53"/>
      <c r="H31" s="53"/>
      <c r="I31" s="53"/>
      <c r="J31" s="53"/>
      <c r="K31" s="53"/>
    </row>
    <row r="32" customFormat="1" ht="20" customHeight="1" spans="1:20">
      <c r="A32" s="62">
        <v>1</v>
      </c>
      <c r="B32" s="64" t="s">
        <v>72</v>
      </c>
      <c r="C32" s="64"/>
      <c r="D32" s="64"/>
      <c r="E32" s="53"/>
      <c r="F32" s="53"/>
      <c r="G32" s="53"/>
      <c r="H32" s="53"/>
      <c r="I32" s="53"/>
      <c r="J32" s="53"/>
      <c r="K32" s="53"/>
    </row>
    <row r="33" ht="20" customHeight="1" spans="1:11">
      <c r="A33" s="62">
        <v>2</v>
      </c>
      <c r="B33" s="64" t="s">
        <v>73</v>
      </c>
      <c r="C33" s="64"/>
      <c r="D33" s="64"/>
      <c r="E33" s="53"/>
      <c r="F33" s="53"/>
      <c r="G33" s="53"/>
      <c r="H33" s="53"/>
      <c r="I33" s="53"/>
      <c r="J33" s="53"/>
      <c r="K33" s="53"/>
    </row>
    <row r="34" ht="18" customHeight="1" spans="1:11">
      <c r="A34" s="58" t="s">
        <v>74</v>
      </c>
      <c r="B34" s="58"/>
      <c r="C34" s="58"/>
      <c r="D34" s="58"/>
      <c r="E34" s="53"/>
      <c r="F34" s="53"/>
      <c r="G34" s="53"/>
      <c r="H34" s="53"/>
      <c r="I34" s="53"/>
      <c r="J34" s="53"/>
      <c r="K34" s="53"/>
    </row>
    <row r="35" ht="65" customHeight="1" spans="1:11">
      <c r="A35" s="63" t="s">
        <v>75</v>
      </c>
      <c r="B35" s="64"/>
      <c r="C35" s="64"/>
      <c r="D35" s="64"/>
    </row>
    <row r="36" ht="100" customHeight="1" spans="1:11">
      <c r="A36" s="65"/>
      <c r="B36" s="66"/>
      <c r="C36" s="67"/>
      <c r="D36" s="67"/>
    </row>
    <row r="37" ht="24" customHeight="1" spans="1:11">
      <c r="A37" s="65"/>
      <c r="B37" s="65"/>
      <c r="C37" s="65"/>
      <c r="D37" s="65"/>
    </row>
    <row r="38" ht="24" customHeight="1" spans="1:11">
      <c r="A38" s="65"/>
      <c r="B38" s="65"/>
      <c r="C38" s="65"/>
      <c r="D38" s="65"/>
    </row>
    <row r="39" ht="24" customHeight="1" spans="1:11">
      <c r="A39" s="65"/>
      <c r="B39" s="65"/>
      <c r="C39" s="65"/>
      <c r="D39" s="65"/>
    </row>
    <row r="40" ht="96" customHeight="1" spans="1:11">
      <c r="A40" s="68"/>
      <c r="B40" s="69"/>
      <c r="C40" s="69"/>
      <c r="D40" s="69"/>
    </row>
    <row r="41" customFormat="1" ht="24" customHeight="1" spans="1:11">
      <c r="A41" s="70"/>
      <c r="B41" s="70"/>
      <c r="C41" s="70"/>
      <c r="D41" s="70"/>
    </row>
    <row r="42" customFormat="1" ht="24" customHeight="1" spans="1:11">
      <c r="A42" s="70"/>
      <c r="B42" s="70"/>
      <c r="C42" s="70"/>
      <c r="D42" s="70"/>
    </row>
    <row r="43" customFormat="1" ht="24" customHeight="1" spans="1:11">
      <c r="A43" s="70"/>
      <c r="B43" s="70"/>
      <c r="C43" s="70"/>
      <c r="D43" s="70"/>
    </row>
    <row r="44" customFormat="1" ht="24" customHeight="1" spans="1:11">
      <c r="A44" s="70"/>
      <c r="B44" s="70"/>
      <c r="C44" s="70"/>
      <c r="D44" s="70"/>
    </row>
    <row r="45" customFormat="1" ht="24" customHeight="1" spans="1:11">
      <c r="A45" s="70"/>
      <c r="B45" s="70"/>
      <c r="C45" s="70"/>
      <c r="D45" s="70"/>
    </row>
    <row r="50" spans="3:3">
      <c r="C50" s="71"/>
    </row>
  </sheetData>
  <mergeCells count="26">
    <mergeCell ref="A1:D1"/>
    <mergeCell ref="E1:H1"/>
    <mergeCell ref="I1:K1"/>
    <mergeCell ref="O1:S1"/>
    <mergeCell ref="A2:B2"/>
    <mergeCell ref="A22:D22"/>
    <mergeCell ref="A23:D23"/>
    <mergeCell ref="A24:D24"/>
    <mergeCell ref="A25:D25"/>
    <mergeCell ref="A26:D26"/>
    <mergeCell ref="A27:D27"/>
    <mergeCell ref="B28:D28"/>
    <mergeCell ref="B29:D29"/>
    <mergeCell ref="B30:D30"/>
    <mergeCell ref="A31:D31"/>
    <mergeCell ref="B32:D32"/>
    <mergeCell ref="B33:D33"/>
    <mergeCell ref="A34:D34"/>
    <mergeCell ref="A35:D35"/>
    <mergeCell ref="B36:D36"/>
    <mergeCell ref="A40:D40"/>
    <mergeCell ref="A41:D41"/>
    <mergeCell ref="A42:D42"/>
    <mergeCell ref="A43:D43"/>
    <mergeCell ref="A44:D44"/>
    <mergeCell ref="A45:D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"/>
  <sheetViews>
    <sheetView tabSelected="1" zoomScale="130" zoomScaleNormal="130" topLeftCell="A9" workbookViewId="0">
      <pane xSplit="4" topLeftCell="H1" activePane="topRight" state="frozen"/>
      <selection/>
      <selection pane="topRight" activeCell="H7" sqref="H7"/>
    </sheetView>
  </sheetViews>
  <sheetFormatPr defaultColWidth="9" defaultRowHeight="14.25"/>
  <cols>
    <col min="2" max="2" width="11.6166666666667" customWidth="1"/>
    <col min="3" max="3" width="33.0666666666667" customWidth="1"/>
    <col min="4" max="4" width="28.1666666666667" customWidth="1"/>
    <col min="5" max="5" width="12.1083333333333" customWidth="1"/>
    <col min="6" max="6" width="12.8833333333333" customWidth="1"/>
    <col min="7" max="7" width="13.3416666666667" customWidth="1"/>
    <col min="8" max="9" width="14.6666666666667" customWidth="1"/>
    <col min="10" max="10" width="13.3333333333333" customWidth="1"/>
    <col min="11" max="11" width="13.1333333333333" customWidth="1"/>
    <col min="12" max="12" width="13.3583333333333" customWidth="1"/>
    <col min="15" max="15" width="12.5" customWidth="1"/>
    <col min="16" max="16" width="11.6333333333333" customWidth="1"/>
    <col min="17" max="17" width="11.25" customWidth="1"/>
    <col min="18" max="18" width="13.6333333333333" customWidth="1"/>
    <col min="19" max="19" width="13.5" customWidth="1"/>
    <col min="20" max="20" width="16" customWidth="1"/>
  </cols>
  <sheetData>
    <row r="1" ht="22" customHeight="1" spans="1:20">
      <c r="A1" s="34" t="s">
        <v>0</v>
      </c>
      <c r="B1" s="34"/>
      <c r="C1" s="34"/>
      <c r="D1" s="34"/>
      <c r="E1" s="35" t="s">
        <v>1</v>
      </c>
      <c r="F1" s="36"/>
      <c r="G1" s="36"/>
      <c r="H1" s="36"/>
      <c r="I1" s="36" t="s">
        <v>2</v>
      </c>
      <c r="J1" s="36"/>
      <c r="K1" s="36"/>
      <c r="L1" s="37" t="s">
        <v>3</v>
      </c>
      <c r="O1" s="38" t="s">
        <v>4</v>
      </c>
      <c r="P1" s="38"/>
      <c r="Q1" s="38"/>
      <c r="R1" s="38"/>
      <c r="S1" s="38"/>
      <c r="T1" s="38" t="s">
        <v>3</v>
      </c>
    </row>
    <row r="2" ht="32" customHeight="1" spans="1:20">
      <c r="A2" s="39" t="s">
        <v>5</v>
      </c>
      <c r="B2" s="39"/>
      <c r="C2" s="39" t="s">
        <v>6</v>
      </c>
      <c r="D2" s="39" t="s">
        <v>7</v>
      </c>
      <c r="E2" s="35" t="s">
        <v>8</v>
      </c>
      <c r="F2" s="36" t="s">
        <v>9</v>
      </c>
      <c r="G2" s="36" t="s">
        <v>10</v>
      </c>
      <c r="H2" s="36" t="s">
        <v>11</v>
      </c>
      <c r="I2" s="36" t="s">
        <v>12</v>
      </c>
      <c r="J2" s="36" t="s">
        <v>13</v>
      </c>
      <c r="K2" s="36" t="s">
        <v>14</v>
      </c>
      <c r="L2" s="36"/>
      <c r="O2" s="38" t="s">
        <v>15</v>
      </c>
      <c r="P2" s="38" t="s">
        <v>16</v>
      </c>
      <c r="Q2" s="38" t="s">
        <v>14</v>
      </c>
      <c r="R2" s="38" t="s">
        <v>11</v>
      </c>
      <c r="S2" s="38" t="s">
        <v>17</v>
      </c>
      <c r="T2" s="38"/>
    </row>
    <row r="3" ht="32" customHeight="1" spans="1:20">
      <c r="A3" s="40" t="s">
        <v>18</v>
      </c>
      <c r="B3" s="41">
        <v>46374</v>
      </c>
      <c r="C3" s="42" t="s">
        <v>19</v>
      </c>
      <c r="D3" s="43"/>
      <c r="E3" s="44"/>
      <c r="F3" s="45">
        <v>800</v>
      </c>
      <c r="G3" s="45"/>
      <c r="H3" s="45">
        <v>600</v>
      </c>
      <c r="I3" s="45"/>
      <c r="J3" s="45">
        <v>50</v>
      </c>
      <c r="K3" s="45"/>
      <c r="L3" s="46">
        <f t="shared" ref="L3:L19" si="0">SUM(E3:K3)</f>
        <v>1450</v>
      </c>
      <c r="O3" s="47"/>
      <c r="P3" s="47"/>
      <c r="Q3" s="47"/>
      <c r="R3" s="47"/>
      <c r="S3" s="47"/>
      <c r="T3" s="47"/>
    </row>
    <row r="4" ht="32" customHeight="1" spans="1:20">
      <c r="A4" s="40" t="s">
        <v>20</v>
      </c>
      <c r="B4" s="41">
        <v>46375</v>
      </c>
      <c r="C4" s="48" t="s">
        <v>21</v>
      </c>
      <c r="D4" s="49" t="s">
        <v>76</v>
      </c>
      <c r="E4" s="44"/>
      <c r="F4" s="45">
        <v>850</v>
      </c>
      <c r="G4" s="45"/>
      <c r="H4" s="45">
        <v>200</v>
      </c>
      <c r="I4" s="45"/>
      <c r="J4" s="45">
        <v>75</v>
      </c>
      <c r="K4" s="45"/>
      <c r="L4" s="46">
        <f t="shared" si="0"/>
        <v>1125</v>
      </c>
      <c r="O4" s="47"/>
      <c r="P4" s="47"/>
      <c r="Q4" s="47"/>
      <c r="R4" s="47"/>
      <c r="S4" s="47"/>
      <c r="T4" s="47"/>
    </row>
    <row r="5" ht="32" customHeight="1" spans="1:20">
      <c r="A5" s="40" t="s">
        <v>23</v>
      </c>
      <c r="B5" s="41">
        <v>46376</v>
      </c>
      <c r="C5" s="48" t="s">
        <v>77</v>
      </c>
      <c r="D5" s="49" t="s">
        <v>78</v>
      </c>
      <c r="E5" s="44"/>
      <c r="F5" s="45">
        <v>850</v>
      </c>
      <c r="G5" s="45"/>
      <c r="H5" s="45">
        <v>200</v>
      </c>
      <c r="I5" s="45"/>
      <c r="J5" s="45">
        <v>75</v>
      </c>
      <c r="K5" s="45"/>
      <c r="L5" s="46">
        <f t="shared" si="0"/>
        <v>1125</v>
      </c>
      <c r="O5" s="47"/>
      <c r="P5" s="47"/>
      <c r="Q5" s="47"/>
      <c r="R5" s="47"/>
      <c r="S5" s="47"/>
      <c r="T5" s="47"/>
    </row>
    <row r="6" ht="32" customHeight="1" spans="1:20">
      <c r="A6" s="40" t="s">
        <v>26</v>
      </c>
      <c r="B6" s="41">
        <v>46377</v>
      </c>
      <c r="C6" s="48" t="s">
        <v>79</v>
      </c>
      <c r="D6" s="49" t="s">
        <v>80</v>
      </c>
      <c r="E6" s="44"/>
      <c r="F6" s="45">
        <v>850</v>
      </c>
      <c r="G6" s="45"/>
      <c r="H6" s="45"/>
      <c r="I6" s="45"/>
      <c r="J6" s="45">
        <v>75</v>
      </c>
      <c r="K6" s="45">
        <v>200</v>
      </c>
      <c r="L6" s="46">
        <f t="shared" si="0"/>
        <v>1125</v>
      </c>
      <c r="M6">
        <v>185.13</v>
      </c>
      <c r="O6" s="47"/>
      <c r="P6" s="47"/>
      <c r="Q6" s="47"/>
      <c r="R6" s="47"/>
      <c r="S6" s="47"/>
      <c r="T6" s="47"/>
    </row>
    <row r="7" ht="32" customHeight="1" spans="1:20">
      <c r="A7" s="40" t="s">
        <v>29</v>
      </c>
      <c r="B7" s="41">
        <v>46378</v>
      </c>
      <c r="C7" s="48" t="s">
        <v>81</v>
      </c>
      <c r="D7" s="49" t="s">
        <v>28</v>
      </c>
      <c r="E7" s="44"/>
      <c r="F7" s="45">
        <v>850</v>
      </c>
      <c r="G7" s="45"/>
      <c r="H7" s="45">
        <v>600</v>
      </c>
      <c r="I7" s="45"/>
      <c r="J7" s="45">
        <v>75</v>
      </c>
      <c r="K7" s="45">
        <v>200</v>
      </c>
      <c r="L7" s="46">
        <f t="shared" si="0"/>
        <v>1725</v>
      </c>
      <c r="M7">
        <v>208.39</v>
      </c>
      <c r="O7" s="47"/>
      <c r="P7" s="47"/>
      <c r="Q7" s="47"/>
      <c r="R7" s="47"/>
      <c r="S7" s="47"/>
      <c r="T7" s="47"/>
    </row>
    <row r="8" ht="32" customHeight="1" spans="1:20">
      <c r="A8" s="40" t="s">
        <v>31</v>
      </c>
      <c r="B8" s="41">
        <v>46379</v>
      </c>
      <c r="C8" s="48" t="s">
        <v>32</v>
      </c>
      <c r="D8" s="49" t="s">
        <v>82</v>
      </c>
      <c r="E8" s="44"/>
      <c r="F8" s="45">
        <v>850</v>
      </c>
      <c r="G8" s="45"/>
      <c r="H8" s="45"/>
      <c r="I8" s="45"/>
      <c r="J8" s="45">
        <v>75</v>
      </c>
      <c r="K8" s="45">
        <v>200</v>
      </c>
      <c r="L8" s="46">
        <f t="shared" si="0"/>
        <v>1125</v>
      </c>
      <c r="M8">
        <v>181.55</v>
      </c>
      <c r="O8" s="47"/>
      <c r="P8" s="47"/>
      <c r="Q8" s="47"/>
      <c r="R8" s="47"/>
      <c r="S8" s="47"/>
      <c r="T8" s="47"/>
    </row>
    <row r="9" ht="32" customHeight="1" spans="1:20">
      <c r="A9" s="40" t="s">
        <v>34</v>
      </c>
      <c r="B9" s="41">
        <v>46380</v>
      </c>
      <c r="C9" s="48" t="s">
        <v>83</v>
      </c>
      <c r="D9" s="50"/>
      <c r="E9" s="44"/>
      <c r="F9" s="45">
        <v>850</v>
      </c>
      <c r="G9" s="45">
        <v>175</v>
      </c>
      <c r="H9" s="45"/>
      <c r="I9" s="45"/>
      <c r="J9" s="45">
        <v>75</v>
      </c>
      <c r="K9" s="45">
        <v>450</v>
      </c>
      <c r="L9" s="46">
        <f t="shared" si="0"/>
        <v>1550</v>
      </c>
      <c r="M9">
        <v>950</v>
      </c>
      <c r="O9" s="47"/>
      <c r="P9" s="47"/>
      <c r="Q9" s="47"/>
      <c r="R9" s="47"/>
      <c r="S9" s="47"/>
      <c r="T9" s="47"/>
    </row>
    <row r="10" ht="32" customHeight="1" spans="1:20">
      <c r="A10" s="40" t="s">
        <v>36</v>
      </c>
      <c r="B10" s="41">
        <v>46381</v>
      </c>
      <c r="C10" s="48" t="s">
        <v>84</v>
      </c>
      <c r="D10" s="50" t="s">
        <v>85</v>
      </c>
      <c r="E10" s="44"/>
      <c r="F10" s="45">
        <v>850</v>
      </c>
      <c r="G10" s="45">
        <v>175</v>
      </c>
      <c r="H10" s="45"/>
      <c r="I10" s="45"/>
      <c r="J10" s="45">
        <v>75</v>
      </c>
      <c r="K10" s="45">
        <v>450</v>
      </c>
      <c r="L10" s="46">
        <f t="shared" si="0"/>
        <v>1550</v>
      </c>
      <c r="O10" s="47"/>
      <c r="P10" s="47"/>
      <c r="Q10" s="47"/>
      <c r="R10" s="47"/>
      <c r="S10" s="47"/>
      <c r="T10" s="47"/>
    </row>
    <row r="11" ht="32" customHeight="1" spans="1:20">
      <c r="A11" s="40" t="s">
        <v>39</v>
      </c>
      <c r="B11" s="41">
        <v>46382</v>
      </c>
      <c r="C11" s="48" t="s">
        <v>40</v>
      </c>
      <c r="D11" s="50"/>
      <c r="E11" s="44"/>
      <c r="F11" s="45">
        <v>850</v>
      </c>
      <c r="G11" s="45">
        <v>175</v>
      </c>
      <c r="H11" s="45"/>
      <c r="I11" s="45"/>
      <c r="J11" s="45">
        <v>75</v>
      </c>
      <c r="K11" s="45"/>
      <c r="L11" s="46">
        <f t="shared" si="0"/>
        <v>1100</v>
      </c>
      <c r="O11" s="47"/>
      <c r="P11" s="47"/>
      <c r="Q11" s="47"/>
      <c r="R11" s="47"/>
      <c r="S11" s="47"/>
      <c r="T11" s="47"/>
    </row>
    <row r="12" ht="32" customHeight="1" spans="1:20">
      <c r="A12" s="40" t="s">
        <v>41</v>
      </c>
      <c r="B12" s="41">
        <v>46383</v>
      </c>
      <c r="C12" s="48" t="s">
        <v>42</v>
      </c>
      <c r="D12" s="51" t="s">
        <v>86</v>
      </c>
      <c r="E12" s="44"/>
      <c r="F12" s="45">
        <v>850</v>
      </c>
      <c r="G12" s="45"/>
      <c r="H12" s="45">
        <v>200</v>
      </c>
      <c r="I12" s="45"/>
      <c r="J12" s="45">
        <v>50</v>
      </c>
      <c r="K12" s="45"/>
      <c r="L12" s="46">
        <f t="shared" si="0"/>
        <v>1100</v>
      </c>
      <c r="O12" s="47"/>
      <c r="P12" s="47"/>
      <c r="Q12" s="47"/>
      <c r="R12" s="47"/>
      <c r="S12" s="47"/>
      <c r="T12" s="47"/>
    </row>
    <row r="13" ht="32" customHeight="1" spans="1:20">
      <c r="A13" s="40" t="s">
        <v>44</v>
      </c>
      <c r="B13" s="41">
        <v>46384</v>
      </c>
      <c r="C13" s="52" t="s">
        <v>45</v>
      </c>
      <c r="D13" s="51" t="s">
        <v>87</v>
      </c>
      <c r="E13" s="44">
        <v>400</v>
      </c>
      <c r="F13" s="45">
        <v>850</v>
      </c>
      <c r="G13" s="45"/>
      <c r="H13" s="45"/>
      <c r="I13" s="45">
        <v>20</v>
      </c>
      <c r="J13" s="45">
        <v>25</v>
      </c>
      <c r="K13" s="45"/>
      <c r="L13" s="46">
        <f t="shared" si="0"/>
        <v>1295</v>
      </c>
      <c r="O13" s="47"/>
      <c r="P13" s="47"/>
      <c r="Q13" s="47"/>
      <c r="R13" s="47"/>
      <c r="S13" s="47"/>
      <c r="T13" s="47"/>
    </row>
    <row r="14" ht="32" customHeight="1" spans="1:20">
      <c r="A14" s="40" t="s">
        <v>47</v>
      </c>
      <c r="B14" s="41">
        <v>46385</v>
      </c>
      <c r="C14" s="52" t="s">
        <v>88</v>
      </c>
      <c r="D14" s="43" t="s">
        <v>89</v>
      </c>
      <c r="E14" s="44"/>
      <c r="F14" s="45"/>
      <c r="G14" s="45"/>
      <c r="H14" s="45"/>
      <c r="I14" s="45"/>
      <c r="J14" s="45"/>
      <c r="K14" s="45"/>
      <c r="L14" s="46">
        <f t="shared" si="0"/>
        <v>0</v>
      </c>
      <c r="O14" s="47"/>
      <c r="P14" s="47"/>
      <c r="Q14" s="47"/>
      <c r="R14" s="47"/>
      <c r="S14" s="47"/>
      <c r="T14" s="47"/>
    </row>
    <row r="15" ht="32" customHeight="1" spans="1:20">
      <c r="A15" s="40" t="s">
        <v>50</v>
      </c>
      <c r="B15" s="41">
        <v>46386</v>
      </c>
      <c r="C15" s="52" t="s">
        <v>48</v>
      </c>
      <c r="D15" s="51" t="s">
        <v>90</v>
      </c>
      <c r="E15" s="44">
        <v>750</v>
      </c>
      <c r="F15" s="45"/>
      <c r="G15" s="45"/>
      <c r="H15" s="45"/>
      <c r="I15" s="45">
        <v>60</v>
      </c>
      <c r="J15" s="45"/>
      <c r="K15" s="45">
        <v>180</v>
      </c>
      <c r="L15" s="46">
        <f t="shared" si="0"/>
        <v>990</v>
      </c>
      <c r="M15">
        <v>120</v>
      </c>
      <c r="O15" s="47"/>
      <c r="P15" s="47"/>
      <c r="Q15" s="47"/>
      <c r="R15" s="47"/>
      <c r="S15" s="47"/>
      <c r="T15" s="47"/>
    </row>
    <row r="16" ht="32" customHeight="1" spans="1:20">
      <c r="A16" s="40" t="s">
        <v>53</v>
      </c>
      <c r="B16" s="41">
        <v>46387</v>
      </c>
      <c r="C16" s="52" t="s">
        <v>54</v>
      </c>
      <c r="D16" s="51" t="s">
        <v>91</v>
      </c>
      <c r="E16" s="44">
        <v>750</v>
      </c>
      <c r="F16" s="45"/>
      <c r="G16" s="45">
        <v>175</v>
      </c>
      <c r="H16" s="45">
        <v>150</v>
      </c>
      <c r="I16" s="45">
        <v>60</v>
      </c>
      <c r="J16" s="45"/>
      <c r="K16" s="45">
        <v>180</v>
      </c>
      <c r="L16" s="46">
        <f t="shared" si="0"/>
        <v>1315</v>
      </c>
      <c r="M16">
        <v>120</v>
      </c>
      <c r="O16" s="47"/>
      <c r="P16" s="47"/>
      <c r="Q16" s="47"/>
      <c r="R16" s="47"/>
      <c r="S16" s="47"/>
      <c r="T16" s="47"/>
    </row>
    <row r="17" ht="32" customHeight="1" spans="1:20">
      <c r="A17" s="40" t="s">
        <v>56</v>
      </c>
      <c r="B17" s="41">
        <v>46388</v>
      </c>
      <c r="C17" s="52" t="s">
        <v>92</v>
      </c>
      <c r="D17" s="43" t="s">
        <v>93</v>
      </c>
      <c r="E17" s="44">
        <v>750</v>
      </c>
      <c r="F17" s="45"/>
      <c r="G17" s="45">
        <v>175</v>
      </c>
      <c r="H17" s="45">
        <f>(E19+F19+G19)*0.1</f>
        <v>1282.5</v>
      </c>
      <c r="I17" s="45">
        <v>60</v>
      </c>
      <c r="J17" s="45"/>
      <c r="K17" s="45"/>
      <c r="L17" s="46">
        <f t="shared" si="0"/>
        <v>2267.5</v>
      </c>
      <c r="O17" s="47"/>
      <c r="P17" s="47"/>
      <c r="Q17" s="47"/>
      <c r="R17" s="47"/>
      <c r="S17" s="47"/>
      <c r="T17" s="47"/>
    </row>
    <row r="18" ht="20" customHeight="1" spans="1:20">
      <c r="A18" s="53"/>
      <c r="B18" s="53"/>
      <c r="C18" s="54"/>
      <c r="D18" s="53"/>
      <c r="E18" s="44"/>
      <c r="F18" s="45"/>
      <c r="G18" s="45"/>
      <c r="H18" s="55"/>
      <c r="I18" s="55"/>
      <c r="J18" s="45"/>
      <c r="K18" s="45"/>
      <c r="L18" s="46">
        <f>SUM(L3:L17)</f>
        <v>18842.5</v>
      </c>
      <c r="O18" s="47"/>
      <c r="P18" s="47"/>
      <c r="Q18" s="47"/>
      <c r="R18" s="47"/>
      <c r="S18" s="47"/>
      <c r="T18" s="47"/>
    </row>
    <row r="19" ht="20" customHeight="1" spans="1:20">
      <c r="B19" s="53"/>
      <c r="C19" s="53"/>
      <c r="D19" s="53"/>
      <c r="E19" s="56">
        <f t="shared" ref="E19:K19" si="1">SUM(E3:E18)</f>
        <v>2650</v>
      </c>
      <c r="F19" s="57">
        <f t="shared" si="1"/>
        <v>9300</v>
      </c>
      <c r="G19" s="57">
        <f t="shared" si="1"/>
        <v>875</v>
      </c>
      <c r="H19" s="57">
        <f t="shared" si="1"/>
        <v>3232.5</v>
      </c>
      <c r="I19" s="57">
        <f t="shared" si="1"/>
        <v>200</v>
      </c>
      <c r="J19" s="57">
        <f t="shared" si="1"/>
        <v>725</v>
      </c>
      <c r="K19" s="57">
        <f t="shared" si="1"/>
        <v>1860</v>
      </c>
      <c r="L19" s="46">
        <f>SUM(E19:K19)</f>
        <v>18842.5</v>
      </c>
      <c r="M19">
        <f>SUM(M6:M18)</f>
        <v>1765.07</v>
      </c>
      <c r="O19" s="47"/>
      <c r="P19" s="47"/>
      <c r="Q19" s="47"/>
      <c r="R19" s="47"/>
      <c r="S19" s="47"/>
      <c r="T19" s="47"/>
    </row>
    <row r="20" ht="20" customHeight="1" spans="1:20">
      <c r="A20" s="58" t="s">
        <v>94</v>
      </c>
      <c r="B20" s="58"/>
      <c r="C20" s="58"/>
      <c r="D20" s="58"/>
      <c r="E20" s="53"/>
      <c r="F20" s="53"/>
      <c r="G20" s="53"/>
      <c r="H20" s="53"/>
      <c r="I20" s="53"/>
      <c r="J20" s="53"/>
      <c r="K20" s="53"/>
    </row>
    <row r="21" ht="20" customHeight="1" spans="1:20">
      <c r="A21" s="59" t="s">
        <v>64</v>
      </c>
      <c r="B21" s="59"/>
      <c r="C21" s="59"/>
      <c r="D21" s="59"/>
      <c r="E21" s="53"/>
      <c r="F21" s="53"/>
      <c r="G21" s="53"/>
      <c r="H21" s="53"/>
      <c r="I21" s="53"/>
      <c r="J21" s="53"/>
      <c r="K21" s="53"/>
    </row>
    <row r="22" ht="20" customHeight="1" spans="1:20">
      <c r="A22" s="60" t="s">
        <v>65</v>
      </c>
      <c r="B22" s="60"/>
      <c r="C22" s="60"/>
      <c r="D22" s="60"/>
      <c r="E22" s="53"/>
      <c r="F22" s="53"/>
      <c r="G22" s="53"/>
      <c r="H22" s="53"/>
      <c r="I22" s="53"/>
      <c r="J22" s="53"/>
      <c r="K22" s="53"/>
    </row>
    <row r="23" ht="20" customHeight="1" spans="1:20">
      <c r="A23" s="61" t="s">
        <v>95</v>
      </c>
      <c r="B23" s="61"/>
      <c r="C23" s="61"/>
      <c r="D23" s="61"/>
      <c r="E23" s="53"/>
      <c r="F23" s="53"/>
      <c r="G23" s="53"/>
      <c r="H23" s="53"/>
      <c r="I23" s="53"/>
      <c r="J23" s="53"/>
      <c r="K23" s="53"/>
    </row>
    <row r="24" ht="20" customHeight="1" spans="1:20">
      <c r="A24" s="62"/>
      <c r="B24" s="62"/>
      <c r="C24" s="62"/>
      <c r="D24" s="62"/>
      <c r="E24" s="53"/>
      <c r="F24" s="53"/>
      <c r="G24" s="53"/>
      <c r="H24" s="53"/>
      <c r="I24" s="53"/>
      <c r="J24" s="53"/>
      <c r="K24" s="53"/>
    </row>
    <row r="25" ht="20" customHeight="1" spans="1:20">
      <c r="A25" s="59" t="s">
        <v>67</v>
      </c>
      <c r="B25" s="59"/>
      <c r="C25" s="59"/>
      <c r="D25" s="59"/>
      <c r="E25" s="53"/>
      <c r="F25" s="53"/>
      <c r="G25" s="53"/>
      <c r="H25" s="53"/>
      <c r="I25" s="53"/>
      <c r="J25" s="53"/>
      <c r="K25" s="53"/>
    </row>
    <row r="26" customFormat="1" ht="23" customHeight="1" spans="1:20">
      <c r="A26" s="62">
        <v>1</v>
      </c>
      <c r="B26" s="63" t="s">
        <v>68</v>
      </c>
      <c r="C26" s="64"/>
      <c r="D26" s="64"/>
      <c r="E26" s="53"/>
      <c r="F26" s="53"/>
      <c r="G26" s="53"/>
      <c r="H26" s="53"/>
      <c r="I26" s="53"/>
      <c r="J26" s="53"/>
      <c r="K26" s="53"/>
    </row>
    <row r="27" ht="20" customHeight="1" spans="1:20">
      <c r="A27" s="62">
        <v>2</v>
      </c>
      <c r="B27" s="64" t="s">
        <v>69</v>
      </c>
      <c r="C27" s="64"/>
      <c r="D27" s="64"/>
      <c r="E27" s="53"/>
      <c r="F27" s="53"/>
      <c r="G27" s="53"/>
      <c r="H27" s="53"/>
      <c r="I27" s="53"/>
      <c r="J27" s="53"/>
      <c r="K27" s="53"/>
    </row>
    <row r="28" ht="20" customHeight="1" spans="1:20">
      <c r="A28" s="62">
        <v>3</v>
      </c>
      <c r="B28" s="64" t="s">
        <v>70</v>
      </c>
      <c r="C28" s="64"/>
      <c r="D28" s="64"/>
      <c r="E28" s="53"/>
      <c r="F28" s="53"/>
      <c r="G28" s="53"/>
      <c r="H28" s="53"/>
      <c r="I28" s="53"/>
      <c r="J28" s="53"/>
      <c r="K28" s="53"/>
    </row>
    <row r="29" ht="20" customHeight="1" spans="1:20">
      <c r="A29" s="59" t="s">
        <v>71</v>
      </c>
      <c r="B29" s="59"/>
      <c r="C29" s="59"/>
      <c r="D29" s="59"/>
      <c r="E29" s="53"/>
      <c r="F29" s="53"/>
      <c r="G29" s="53"/>
      <c r="H29" s="53"/>
      <c r="I29" s="53"/>
      <c r="J29" s="53"/>
      <c r="K29" s="53"/>
    </row>
    <row r="30" customFormat="1" ht="20" customHeight="1" spans="1:20">
      <c r="A30" s="62">
        <v>1</v>
      </c>
      <c r="B30" s="64" t="s">
        <v>72</v>
      </c>
      <c r="C30" s="64"/>
      <c r="D30" s="64"/>
      <c r="E30" s="53"/>
      <c r="F30" s="53"/>
      <c r="G30" s="53"/>
      <c r="H30" s="53"/>
      <c r="I30" s="53"/>
      <c r="J30" s="53"/>
      <c r="K30" s="53"/>
    </row>
    <row r="31" ht="20" customHeight="1" spans="1:20">
      <c r="A31" s="62">
        <v>2</v>
      </c>
      <c r="B31" s="64" t="s">
        <v>73</v>
      </c>
      <c r="C31" s="64"/>
      <c r="D31" s="64"/>
      <c r="E31" s="53"/>
      <c r="F31" s="53"/>
      <c r="G31" s="53"/>
      <c r="H31" s="53"/>
      <c r="I31" s="53"/>
      <c r="J31" s="53"/>
      <c r="K31" s="53"/>
    </row>
    <row r="32" ht="18" customHeight="1" spans="1:20">
      <c r="A32" s="58" t="s">
        <v>74</v>
      </c>
      <c r="B32" s="58"/>
      <c r="C32" s="58"/>
      <c r="D32" s="58"/>
      <c r="E32" s="53"/>
      <c r="F32" s="53"/>
      <c r="G32" s="53"/>
      <c r="H32" s="53"/>
      <c r="I32" s="53"/>
      <c r="J32" s="53"/>
      <c r="K32" s="53"/>
    </row>
    <row r="33" ht="65" customHeight="1" spans="1:4">
      <c r="A33" s="63" t="s">
        <v>75</v>
      </c>
      <c r="B33" s="64"/>
      <c r="C33" s="64"/>
      <c r="D33" s="64"/>
    </row>
    <row r="34" ht="100" customHeight="1" spans="1:4">
      <c r="A34" s="65"/>
      <c r="B34" s="66"/>
      <c r="C34" s="67"/>
      <c r="D34" s="67"/>
    </row>
    <row r="35" ht="24" customHeight="1" spans="1:4">
      <c r="A35" s="65"/>
      <c r="B35" s="65"/>
      <c r="C35" s="65"/>
      <c r="D35" s="65"/>
    </row>
    <row r="36" ht="24" customHeight="1" spans="1:4">
      <c r="A36" s="65"/>
      <c r="B36" s="65"/>
      <c r="C36" s="65"/>
      <c r="D36" s="65"/>
    </row>
    <row r="37" ht="24" customHeight="1" spans="1:4">
      <c r="A37" s="65"/>
      <c r="B37" s="65"/>
      <c r="C37" s="65"/>
      <c r="D37" s="65"/>
    </row>
    <row r="38" ht="96" customHeight="1" spans="1:4">
      <c r="A38" s="68"/>
      <c r="B38" s="69"/>
      <c r="C38" s="69"/>
      <c r="D38" s="69"/>
    </row>
    <row r="39" customFormat="1" ht="24" customHeight="1" spans="1:4">
      <c r="A39" s="70"/>
      <c r="B39" s="70"/>
      <c r="C39" s="70"/>
      <c r="D39" s="70"/>
    </row>
    <row r="40" customFormat="1" ht="24" customHeight="1" spans="1:4">
      <c r="A40" s="70"/>
      <c r="B40" s="70"/>
      <c r="C40" s="70"/>
      <c r="D40" s="70"/>
    </row>
    <row r="41" customFormat="1" ht="24" customHeight="1" spans="1:4">
      <c r="A41" s="70"/>
      <c r="B41" s="70"/>
      <c r="C41" s="70"/>
      <c r="D41" s="70"/>
    </row>
    <row r="42" customFormat="1" ht="24" customHeight="1" spans="1:4">
      <c r="A42" s="70"/>
      <c r="B42" s="70"/>
      <c r="C42" s="70"/>
      <c r="D42" s="70"/>
    </row>
    <row r="43" customFormat="1" ht="24" customHeight="1" spans="1:4">
      <c r="A43" s="70"/>
      <c r="B43" s="70"/>
      <c r="C43" s="70"/>
      <c r="D43" s="70"/>
    </row>
    <row r="48" spans="1:4">
      <c r="C48" s="71"/>
    </row>
  </sheetData>
  <mergeCells count="26">
    <mergeCell ref="A1:D1"/>
    <mergeCell ref="E1:H1"/>
    <mergeCell ref="I1:K1"/>
    <mergeCell ref="O1:S1"/>
    <mergeCell ref="A2:B2"/>
    <mergeCell ref="A20:D20"/>
    <mergeCell ref="A21:D21"/>
    <mergeCell ref="A22:D22"/>
    <mergeCell ref="A23:D23"/>
    <mergeCell ref="A24:D24"/>
    <mergeCell ref="A25:D25"/>
    <mergeCell ref="B26:D26"/>
    <mergeCell ref="B27:D27"/>
    <mergeCell ref="B28:D28"/>
    <mergeCell ref="A29:D29"/>
    <mergeCell ref="B30:D30"/>
    <mergeCell ref="B31:D31"/>
    <mergeCell ref="A32:D32"/>
    <mergeCell ref="A33:D33"/>
    <mergeCell ref="B34:D34"/>
    <mergeCell ref="A38:D38"/>
    <mergeCell ref="A39:D39"/>
    <mergeCell ref="A40:D40"/>
    <mergeCell ref="A41:D41"/>
    <mergeCell ref="A42:D42"/>
    <mergeCell ref="A43:D4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opLeftCell="A6" workbookViewId="0">
      <selection activeCell="A20" sqref="$A20:$XFD36"/>
    </sheetView>
  </sheetViews>
  <sheetFormatPr defaultColWidth="9" defaultRowHeight="14.25"/>
  <cols>
    <col min="2" max="2" width="9.875" customWidth="1"/>
    <col min="3" max="3" width="33" customWidth="1"/>
    <col min="4" max="8" width="4.875" customWidth="1"/>
  </cols>
  <sheetData>
    <row r="1" ht="35" customHeight="1" spans="1:10">
      <c r="A1" s="1" t="s">
        <v>96</v>
      </c>
      <c r="B1" s="2"/>
      <c r="C1" s="2"/>
      <c r="D1" s="2"/>
      <c r="E1" s="2"/>
      <c r="F1" s="2"/>
      <c r="G1" s="2"/>
      <c r="H1" s="2"/>
      <c r="I1" s="2"/>
      <c r="J1" s="3"/>
    </row>
    <row r="2" ht="51" customHeight="1" spans="1:10">
      <c r="A2" s="4" t="s">
        <v>97</v>
      </c>
      <c r="B2" s="5"/>
      <c r="C2" s="6"/>
      <c r="D2" s="7" t="s">
        <v>98</v>
      </c>
      <c r="E2" s="8"/>
      <c r="F2" s="9"/>
      <c r="G2" s="7" t="s">
        <v>99</v>
      </c>
      <c r="H2" s="9"/>
      <c r="I2" s="10" t="s">
        <v>100</v>
      </c>
      <c r="J2" s="11"/>
    </row>
    <row r="3" ht="25" customHeight="1" spans="1:10">
      <c r="A3" s="12" t="s">
        <v>101</v>
      </c>
      <c r="B3" s="13"/>
      <c r="C3" s="13"/>
      <c r="D3" s="13"/>
      <c r="E3" s="13"/>
      <c r="F3" s="13"/>
      <c r="G3" s="13"/>
      <c r="H3" s="13"/>
      <c r="I3" s="13"/>
      <c r="J3" s="14"/>
    </row>
    <row r="4" ht="30" customHeight="1" spans="1:10">
      <c r="A4" s="15" t="s">
        <v>102</v>
      </c>
      <c r="B4" s="16">
        <v>46374</v>
      </c>
      <c r="C4" s="17" t="s">
        <v>19</v>
      </c>
      <c r="D4" s="18"/>
      <c r="E4" s="18"/>
      <c r="F4" s="18"/>
      <c r="G4" s="18"/>
      <c r="H4" s="18"/>
      <c r="I4" s="18"/>
      <c r="J4" s="19"/>
    </row>
    <row r="5" ht="30" customHeight="1" spans="1:10">
      <c r="A5" s="15" t="s">
        <v>103</v>
      </c>
      <c r="B5" s="16">
        <v>46375</v>
      </c>
      <c r="C5" s="17" t="s">
        <v>21</v>
      </c>
      <c r="D5" s="18"/>
      <c r="E5" s="18"/>
      <c r="F5" s="18"/>
      <c r="G5" s="18"/>
      <c r="H5" s="18"/>
      <c r="I5" s="18"/>
      <c r="J5" s="19"/>
    </row>
    <row r="6" ht="30" customHeight="1" spans="1:10">
      <c r="A6" s="15" t="s">
        <v>104</v>
      </c>
      <c r="B6" s="16">
        <v>46376</v>
      </c>
      <c r="C6" s="17" t="s">
        <v>77</v>
      </c>
      <c r="D6" s="18"/>
      <c r="E6" s="18"/>
      <c r="F6" s="18"/>
      <c r="G6" s="18"/>
      <c r="H6" s="18"/>
      <c r="I6" s="18"/>
      <c r="J6" s="19"/>
    </row>
    <row r="7" ht="30" customHeight="1" spans="1:10">
      <c r="A7" s="15" t="s">
        <v>105</v>
      </c>
      <c r="B7" s="16">
        <v>46377</v>
      </c>
      <c r="C7" s="17" t="s">
        <v>79</v>
      </c>
      <c r="D7" s="18"/>
      <c r="E7" s="18"/>
      <c r="F7" s="18"/>
      <c r="G7" s="18"/>
      <c r="H7" s="18"/>
      <c r="I7" s="18"/>
      <c r="J7" s="19"/>
    </row>
    <row r="8" ht="30" customHeight="1" spans="1:10">
      <c r="A8" s="15" t="s">
        <v>106</v>
      </c>
      <c r="B8" s="16">
        <v>46378</v>
      </c>
      <c r="C8" s="17" t="s">
        <v>81</v>
      </c>
      <c r="D8" s="18"/>
      <c r="E8" s="18"/>
      <c r="F8" s="18"/>
      <c r="G8" s="18"/>
      <c r="H8" s="18"/>
      <c r="I8" s="18"/>
      <c r="J8" s="19"/>
    </row>
    <row r="9" ht="30" customHeight="1" spans="1:10">
      <c r="A9" s="15" t="s">
        <v>107</v>
      </c>
      <c r="B9" s="16">
        <v>46379</v>
      </c>
      <c r="C9" s="17" t="s">
        <v>32</v>
      </c>
      <c r="D9" s="18"/>
      <c r="E9" s="18"/>
      <c r="F9" s="18"/>
      <c r="G9" s="18"/>
      <c r="H9" s="18"/>
      <c r="I9" s="18"/>
      <c r="J9" s="19"/>
    </row>
    <row r="10" ht="30" customHeight="1" spans="1:10">
      <c r="A10" s="15" t="s">
        <v>108</v>
      </c>
      <c r="B10" s="16">
        <v>46380</v>
      </c>
      <c r="C10" s="17" t="s">
        <v>83</v>
      </c>
      <c r="D10" s="18"/>
      <c r="E10" s="18"/>
      <c r="F10" s="18"/>
      <c r="G10" s="18"/>
      <c r="H10" s="18"/>
      <c r="I10" s="18"/>
      <c r="J10" s="19"/>
    </row>
    <row r="11" ht="30" customHeight="1" spans="1:10">
      <c r="A11" s="15" t="s">
        <v>109</v>
      </c>
      <c r="B11" s="16">
        <v>46381</v>
      </c>
      <c r="C11" s="17" t="s">
        <v>84</v>
      </c>
      <c r="D11" s="18"/>
      <c r="E11" s="18"/>
      <c r="F11" s="18"/>
      <c r="G11" s="18"/>
      <c r="H11" s="18"/>
      <c r="I11" s="18"/>
      <c r="J11" s="19"/>
    </row>
    <row r="12" ht="30" customHeight="1" spans="1:10">
      <c r="A12" s="15" t="s">
        <v>110</v>
      </c>
      <c r="B12" s="16">
        <v>46382</v>
      </c>
      <c r="C12" s="17" t="s">
        <v>40</v>
      </c>
      <c r="D12" s="18"/>
      <c r="E12" s="18"/>
      <c r="F12" s="18"/>
      <c r="G12" s="18"/>
      <c r="H12" s="18"/>
      <c r="I12" s="18"/>
      <c r="J12" s="19"/>
    </row>
    <row r="13" ht="30" customHeight="1" spans="1:10">
      <c r="A13" s="15" t="s">
        <v>111</v>
      </c>
      <c r="B13" s="16">
        <v>46383</v>
      </c>
      <c r="C13" s="17" t="s">
        <v>42</v>
      </c>
      <c r="D13" s="18"/>
      <c r="E13" s="18"/>
      <c r="F13" s="18"/>
      <c r="G13" s="18"/>
      <c r="H13" s="18"/>
      <c r="I13" s="18"/>
      <c r="J13" s="19"/>
    </row>
    <row r="14" ht="30" customHeight="1" spans="1:10">
      <c r="A14" s="15" t="s">
        <v>112</v>
      </c>
      <c r="B14" s="16">
        <v>46384</v>
      </c>
      <c r="C14" s="17" t="s">
        <v>113</v>
      </c>
      <c r="D14" s="18"/>
      <c r="E14" s="18"/>
      <c r="F14" s="18"/>
      <c r="G14" s="18"/>
      <c r="H14" s="18"/>
      <c r="I14" s="18"/>
      <c r="J14" s="19"/>
    </row>
    <row r="15" ht="30" customHeight="1" spans="1:10">
      <c r="A15" s="15" t="s">
        <v>114</v>
      </c>
      <c r="B15" s="16">
        <v>46385</v>
      </c>
      <c r="C15" s="17" t="s">
        <v>88</v>
      </c>
      <c r="D15" s="18"/>
      <c r="E15" s="18"/>
      <c r="F15" s="18"/>
      <c r="G15" s="18"/>
      <c r="H15" s="18"/>
      <c r="I15" s="18"/>
      <c r="J15" s="19"/>
    </row>
    <row r="16" ht="30" customHeight="1" spans="1:10">
      <c r="A16" s="15" t="s">
        <v>115</v>
      </c>
      <c r="B16" s="16">
        <v>46386</v>
      </c>
      <c r="C16" s="17" t="s">
        <v>48</v>
      </c>
      <c r="D16" s="18"/>
      <c r="E16" s="18"/>
      <c r="F16" s="18"/>
      <c r="G16" s="18"/>
      <c r="H16" s="18"/>
      <c r="I16" s="18"/>
      <c r="J16" s="19"/>
    </row>
    <row r="17" ht="30" customHeight="1" spans="1:10">
      <c r="A17" s="15" t="s">
        <v>116</v>
      </c>
      <c r="B17" s="16">
        <v>46387</v>
      </c>
      <c r="C17" s="17" t="s">
        <v>54</v>
      </c>
      <c r="D17" s="18"/>
      <c r="E17" s="18"/>
      <c r="F17" s="18"/>
      <c r="G17" s="18"/>
      <c r="H17" s="18"/>
      <c r="I17" s="18"/>
      <c r="J17" s="19"/>
    </row>
    <row r="18" ht="30" customHeight="1" spans="1:10">
      <c r="A18" s="15" t="s">
        <v>117</v>
      </c>
      <c r="B18" s="16">
        <v>46388</v>
      </c>
      <c r="C18" s="17" t="s">
        <v>92</v>
      </c>
      <c r="D18" s="18"/>
      <c r="E18" s="18"/>
      <c r="F18" s="18"/>
      <c r="G18" s="18"/>
      <c r="H18" s="18"/>
      <c r="I18" s="18"/>
      <c r="J18" s="19"/>
    </row>
    <row r="19" ht="25" customHeight="1" spans="1:10">
      <c r="A19" s="20" t="s">
        <v>118</v>
      </c>
      <c r="B19" s="21" t="s">
        <v>5</v>
      </c>
      <c r="C19" s="21" t="s">
        <v>119</v>
      </c>
      <c r="D19" s="21" t="s">
        <v>120</v>
      </c>
      <c r="E19" s="21" t="s">
        <v>121</v>
      </c>
      <c r="F19" s="21" t="s">
        <v>122</v>
      </c>
      <c r="G19" s="21" t="s">
        <v>123</v>
      </c>
      <c r="H19" s="21" t="s">
        <v>124</v>
      </c>
      <c r="I19" s="22" t="s">
        <v>125</v>
      </c>
      <c r="J19" s="23" t="s">
        <v>126</v>
      </c>
    </row>
    <row r="20" ht="30" customHeight="1" spans="1:10">
      <c r="A20" s="24">
        <v>1</v>
      </c>
      <c r="B20" s="16">
        <v>46375</v>
      </c>
      <c r="C20" s="25" t="s">
        <v>127</v>
      </c>
      <c r="D20" s="26"/>
      <c r="E20" s="26"/>
      <c r="F20" s="26"/>
      <c r="G20" s="26"/>
      <c r="H20" s="26"/>
      <c r="I20" s="27"/>
      <c r="J20" s="28"/>
    </row>
    <row r="21" ht="30" customHeight="1" spans="1:10">
      <c r="A21" s="24">
        <v>2</v>
      </c>
      <c r="B21" s="16">
        <v>46376</v>
      </c>
      <c r="C21" s="25" t="s">
        <v>128</v>
      </c>
      <c r="D21" s="26"/>
      <c r="E21" s="26"/>
      <c r="F21" s="26"/>
      <c r="G21" s="26"/>
      <c r="H21" s="26"/>
      <c r="I21" s="27"/>
      <c r="J21" s="28"/>
    </row>
    <row r="22" ht="30" customHeight="1" spans="1:10">
      <c r="A22" s="24">
        <v>3</v>
      </c>
      <c r="B22" s="16">
        <v>46377</v>
      </c>
      <c r="C22" s="25" t="s">
        <v>129</v>
      </c>
      <c r="D22" s="26"/>
      <c r="E22" s="26"/>
      <c r="F22" s="26"/>
      <c r="G22" s="26"/>
      <c r="H22" s="26"/>
      <c r="I22" s="27"/>
      <c r="J22" s="28"/>
    </row>
    <row r="23" ht="30" customHeight="1" spans="1:10">
      <c r="A23" s="24">
        <v>4</v>
      </c>
      <c r="B23" s="16">
        <v>46378</v>
      </c>
      <c r="C23" s="25" t="s">
        <v>130</v>
      </c>
      <c r="D23" s="26"/>
      <c r="E23" s="26"/>
      <c r="F23" s="26"/>
      <c r="G23" s="26"/>
      <c r="H23" s="26"/>
      <c r="I23" s="27"/>
      <c r="J23" s="28"/>
    </row>
    <row r="24" ht="30" customHeight="1" spans="1:10">
      <c r="A24" s="24">
        <v>5</v>
      </c>
      <c r="B24" s="16">
        <v>46379</v>
      </c>
      <c r="C24" s="25" t="s">
        <v>131</v>
      </c>
      <c r="D24" s="26"/>
      <c r="E24" s="26"/>
      <c r="F24" s="26"/>
      <c r="G24" s="26"/>
      <c r="H24" s="26"/>
      <c r="I24" s="27"/>
      <c r="J24" s="28"/>
    </row>
    <row r="25" ht="30" customHeight="1" spans="1:10">
      <c r="A25" s="24">
        <v>6</v>
      </c>
      <c r="B25" s="16">
        <v>46381</v>
      </c>
      <c r="C25" s="25" t="s">
        <v>132</v>
      </c>
      <c r="D25" s="26"/>
      <c r="E25" s="26"/>
      <c r="F25" s="26"/>
      <c r="G25" s="26"/>
      <c r="H25" s="26"/>
      <c r="I25" s="27"/>
      <c r="J25" s="28"/>
    </row>
    <row r="26" ht="30" customHeight="1" spans="1:10">
      <c r="A26" s="24">
        <v>7</v>
      </c>
      <c r="B26" s="16">
        <v>46383</v>
      </c>
      <c r="C26" s="25" t="s">
        <v>133</v>
      </c>
      <c r="D26" s="26"/>
      <c r="E26" s="26"/>
      <c r="F26" s="26"/>
      <c r="G26" s="26"/>
      <c r="H26" s="26"/>
      <c r="I26" s="27"/>
      <c r="J26" s="28"/>
    </row>
    <row r="27" ht="30" customHeight="1" spans="1:10">
      <c r="A27" s="24">
        <v>8</v>
      </c>
      <c r="B27" s="16">
        <v>46384</v>
      </c>
      <c r="C27" s="25" t="s">
        <v>87</v>
      </c>
      <c r="D27" s="26"/>
      <c r="E27" s="26"/>
      <c r="F27" s="26"/>
      <c r="G27" s="26"/>
      <c r="H27" s="26"/>
      <c r="I27" s="27"/>
      <c r="J27" s="28"/>
    </row>
    <row r="28" ht="30" customHeight="1" spans="1:10">
      <c r="A28" s="24">
        <v>9</v>
      </c>
      <c r="B28" s="16">
        <v>46386</v>
      </c>
      <c r="C28" s="25" t="s">
        <v>134</v>
      </c>
      <c r="D28" s="26"/>
      <c r="E28" s="26"/>
      <c r="F28" s="26"/>
      <c r="G28" s="26"/>
      <c r="H28" s="26"/>
      <c r="I28" s="27"/>
      <c r="J28" s="28"/>
    </row>
    <row r="29" ht="30" customHeight="1" spans="1:10">
      <c r="A29" s="24">
        <v>10</v>
      </c>
      <c r="B29" s="16">
        <v>46387</v>
      </c>
      <c r="C29" s="25" t="s">
        <v>135</v>
      </c>
      <c r="D29" s="26"/>
      <c r="E29" s="26"/>
      <c r="F29" s="26"/>
      <c r="G29" s="26"/>
      <c r="H29" s="26"/>
      <c r="I29" s="27"/>
      <c r="J29" s="28"/>
    </row>
    <row r="30" ht="30" customHeight="1" spans="1:10">
      <c r="A30" s="24">
        <v>11</v>
      </c>
      <c r="B30" s="16">
        <v>46388</v>
      </c>
      <c r="C30" s="25" t="s">
        <v>136</v>
      </c>
      <c r="D30" s="26"/>
      <c r="E30" s="26"/>
      <c r="F30" s="26"/>
      <c r="G30" s="26"/>
      <c r="H30" s="26"/>
      <c r="I30" s="27"/>
      <c r="J30" s="28"/>
    </row>
    <row r="31" ht="30" customHeight="1" spans="1:10">
      <c r="A31" s="20" t="s">
        <v>137</v>
      </c>
      <c r="B31" s="21" t="s">
        <v>5</v>
      </c>
      <c r="C31" s="21" t="s">
        <v>138</v>
      </c>
      <c r="D31" s="21" t="s">
        <v>120</v>
      </c>
      <c r="E31" s="21" t="s">
        <v>121</v>
      </c>
      <c r="F31" s="21" t="s">
        <v>122</v>
      </c>
      <c r="G31" s="21" t="s">
        <v>123</v>
      </c>
      <c r="H31" s="21" t="s">
        <v>124</v>
      </c>
      <c r="I31" s="22" t="s">
        <v>125</v>
      </c>
      <c r="J31" s="23" t="s">
        <v>126</v>
      </c>
    </row>
    <row r="32" ht="30" customHeight="1" spans="1:10">
      <c r="A32" s="24">
        <v>1</v>
      </c>
      <c r="B32" s="16">
        <v>46377</v>
      </c>
      <c r="C32" s="25" t="s">
        <v>139</v>
      </c>
      <c r="D32" s="26"/>
      <c r="E32" s="29"/>
      <c r="F32" s="29"/>
      <c r="G32" s="29"/>
      <c r="H32" s="29"/>
      <c r="I32" s="27"/>
      <c r="J32" s="28"/>
    </row>
    <row r="33" ht="30" customHeight="1" spans="1:10">
      <c r="A33" s="24">
        <v>2</v>
      </c>
      <c r="B33" s="16">
        <v>46378</v>
      </c>
      <c r="C33" s="25" t="s">
        <v>140</v>
      </c>
      <c r="D33" s="26"/>
      <c r="E33" s="26"/>
      <c r="F33" s="26"/>
      <c r="G33" s="26"/>
      <c r="H33" s="26"/>
      <c r="I33" s="26"/>
      <c r="J33" s="28"/>
    </row>
    <row r="34" ht="30" customHeight="1" spans="1:10">
      <c r="A34" s="24">
        <v>3</v>
      </c>
      <c r="B34" s="16">
        <v>46379</v>
      </c>
      <c r="C34" s="25" t="s">
        <v>141</v>
      </c>
      <c r="D34" s="26"/>
      <c r="E34" s="26"/>
      <c r="F34" s="26"/>
      <c r="G34" s="26"/>
      <c r="H34" s="26"/>
      <c r="I34" s="26"/>
      <c r="J34" s="28"/>
    </row>
    <row r="35" ht="30" customHeight="1" spans="1:10">
      <c r="A35" s="24">
        <v>4</v>
      </c>
      <c r="B35" s="16">
        <v>46380</v>
      </c>
      <c r="C35" s="25" t="s">
        <v>142</v>
      </c>
      <c r="D35" s="26"/>
      <c r="E35" s="26"/>
      <c r="F35" s="26"/>
      <c r="G35" s="26"/>
      <c r="H35" s="26"/>
      <c r="I35" s="26"/>
      <c r="J35" s="28"/>
    </row>
    <row r="36" ht="30" customHeight="1" spans="1:10">
      <c r="A36" s="24">
        <v>5</v>
      </c>
      <c r="B36" s="30">
        <v>46386</v>
      </c>
      <c r="C36" s="25" t="s">
        <v>143</v>
      </c>
      <c r="D36" s="26"/>
      <c r="E36" s="26"/>
      <c r="F36" s="26"/>
      <c r="G36" s="26"/>
      <c r="H36" s="26"/>
      <c r="I36" s="26"/>
      <c r="J36" s="28"/>
    </row>
    <row r="37" ht="156" customHeight="1" spans="1:10">
      <c r="A37" s="31" t="s">
        <v>144</v>
      </c>
      <c r="B37" s="32"/>
      <c r="C37" s="32"/>
      <c r="D37" s="32"/>
      <c r="E37" s="32"/>
      <c r="F37" s="32"/>
      <c r="G37" s="32"/>
      <c r="H37" s="32"/>
      <c r="I37" s="32"/>
      <c r="J37" s="33"/>
    </row>
  </sheetData>
  <mergeCells count="22">
    <mergeCell ref="A1:J1"/>
    <mergeCell ref="A2:C2"/>
    <mergeCell ref="D2:F2"/>
    <mergeCell ref="G2:H2"/>
    <mergeCell ref="I2:J2"/>
    <mergeCell ref="A3:J3"/>
    <mergeCell ref="C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B37:J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用车 + 活动</vt:lpstr>
      <vt:lpstr>用车 + 活动 (2)</vt:lpstr>
      <vt:lpstr>活动预订单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DTB</dc:creator>
  <cp:lastModifiedBy>Smile િી Becky</cp:lastModifiedBy>
  <dcterms:created xsi:type="dcterms:W3CDTF">2023-02-21T07:03:00Z</dcterms:created>
  <cp:lastPrinted>2023-06-20T08:07:00Z</cp:lastPrinted>
  <dcterms:modified xsi:type="dcterms:W3CDTF">2026-05-18T00:57:35Z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B7A8B5B61C0D401A8772EC5E15BC812E_13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